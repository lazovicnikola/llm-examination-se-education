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Lenovo\Desktop\MDU\Master Thesis\Excel\main\"/>
    </mc:Choice>
  </mc:AlternateContent>
  <xr:revisionPtr revIDLastSave="0" documentId="13_ncr:1_{BFC326DC-8ED1-4A4F-A1A1-20B532960B59}" xr6:coauthVersionLast="47" xr6:coauthVersionMax="47" xr10:uidLastSave="{00000000-0000-0000-0000-000000000000}"/>
  <bookViews>
    <workbookView xWindow="-108" yWindow="-108" windowWidth="23256" windowHeight="12456" activeTab="3" xr2:uid="{55855AAB-62C0-4156-A626-C531756F513F}"/>
  </bookViews>
  <sheets>
    <sheet name="Sheet1" sheetId="1" r:id="rId1"/>
    <sheet name="Sheet2" sheetId="2" r:id="rId2"/>
    <sheet name="Sheet3" sheetId="3" r:id="rId3"/>
    <sheet name="Sheet4" sheetId="10" r:id="rId4"/>
  </sheets>
  <definedNames>
    <definedName name="_xlnm._FilterDatabase" localSheetId="0" hidden="1">Sheet1!$A$1:$L$52</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2" l="1"/>
  <c r="B36" i="2"/>
  <c r="B35" i="2"/>
  <c r="B34" i="2"/>
  <c r="B33" i="2"/>
  <c r="B3" i="2"/>
  <c r="B22" i="2"/>
  <c r="B25" i="2"/>
  <c r="B23" i="2"/>
  <c r="B24" i="2"/>
  <c r="B26" i="2"/>
  <c r="B27" i="2"/>
  <c r="B14" i="2"/>
  <c r="B15" i="2"/>
  <c r="B16" i="2"/>
  <c r="B17" i="2"/>
  <c r="B13" i="2"/>
  <c r="B4" i="2"/>
  <c r="B5" i="2"/>
  <c r="B6" i="2"/>
  <c r="B7" i="2"/>
  <c r="B8" i="2"/>
  <c r="B3" i="3"/>
  <c r="C3" i="3"/>
  <c r="D3" i="3"/>
  <c r="E3" i="3"/>
  <c r="F3" i="3"/>
  <c r="G3" i="3"/>
  <c r="B4" i="3"/>
  <c r="C4" i="3"/>
  <c r="D4" i="3"/>
  <c r="E4" i="3"/>
  <c r="F4" i="3"/>
  <c r="G4" i="3"/>
  <c r="B5" i="3"/>
  <c r="C5" i="3"/>
  <c r="D5" i="3"/>
  <c r="E5" i="3"/>
  <c r="F5" i="3"/>
  <c r="G5" i="3"/>
  <c r="B6" i="3"/>
  <c r="C6" i="3"/>
  <c r="D6" i="3"/>
  <c r="E6" i="3"/>
  <c r="F6" i="3"/>
  <c r="G6" i="3"/>
  <c r="B7" i="3"/>
  <c r="C7" i="3"/>
  <c r="D7" i="3"/>
  <c r="E7" i="3"/>
  <c r="F7" i="3"/>
  <c r="G7" i="3"/>
  <c r="B38" i="2" l="1"/>
  <c r="C36" i="2" s="1"/>
  <c r="H3" i="3"/>
  <c r="B18" i="2"/>
  <c r="B28" i="2"/>
  <c r="C8" i="3"/>
  <c r="D8" i="3"/>
  <c r="E8" i="3"/>
  <c r="F8" i="3"/>
  <c r="G8" i="3"/>
  <c r="H4" i="3"/>
  <c r="H5" i="3"/>
  <c r="H6" i="3"/>
  <c r="H7" i="3"/>
  <c r="B8" i="3"/>
  <c r="B9" i="2"/>
  <c r="C3" i="2" s="1"/>
  <c r="C34" i="2" l="1"/>
  <c r="C37" i="2"/>
  <c r="C33" i="2"/>
  <c r="C35" i="2"/>
  <c r="C17" i="2"/>
  <c r="C14" i="2"/>
  <c r="C13" i="2"/>
  <c r="C16" i="2"/>
  <c r="C15" i="2"/>
  <c r="C26" i="2"/>
  <c r="C27" i="2"/>
  <c r="C25" i="2"/>
  <c r="C24" i="2"/>
  <c r="C23" i="2"/>
  <c r="C22" i="2"/>
  <c r="H8" i="3"/>
  <c r="C8" i="2"/>
  <c r="C7" i="2"/>
  <c r="C6" i="2"/>
  <c r="C5" i="2"/>
  <c r="C4" i="2"/>
</calcChain>
</file>

<file path=xl/sharedStrings.xml><?xml version="1.0" encoding="utf-8"?>
<sst xmlns="http://schemas.openxmlformats.org/spreadsheetml/2006/main" count="655" uniqueCount="268">
  <si>
    <t>ID</t>
  </si>
  <si>
    <t>Authors</t>
  </si>
  <si>
    <t>Year</t>
  </si>
  <si>
    <t>Study_Type</t>
  </si>
  <si>
    <t>LLM_Tool</t>
  </si>
  <si>
    <t>Exam_Type</t>
  </si>
  <si>
    <t>Relevance</t>
  </si>
  <si>
    <t>WoS</t>
  </si>
  <si>
    <t>IEEE</t>
  </si>
  <si>
    <t>Scopus</t>
  </si>
  <si>
    <t>ACM</t>
  </si>
  <si>
    <t>FORWARD SNOWBALLING</t>
  </si>
  <si>
    <t>BACKWARD SNOWBALLING</t>
  </si>
  <si>
    <t>Computer Science Education in ChatGPT Era: Experiences from a Course Design Perspective</t>
  </si>
  <si>
    <t>Students' Perceptions and Preferences of Generative Artificial Intelligence</t>
  </si>
  <si>
    <t>ChatGPT in Computer Science Education: A Case Study on a Course</t>
  </si>
  <si>
    <t>Students' Perspectives on AI Code Completion: Benefits and Challenges</t>
  </si>
  <si>
    <t>Evaluating the Impact of Assistive AI Tools on Learning Outcomes</t>
  </si>
  <si>
    <t>Using Generative AI to Create User Stories in the Software Engineering Classroom</t>
  </si>
  <si>
    <t>Analysis of Student-LLM Interaction in a Software Engineering Named</t>
  </si>
  <si>
    <t>Students' Perception of ChatGPT in Software Engineering: Lessons Learned</t>
  </si>
  <si>
    <t>Insights from the Frontline: GenAI Utilization Among Software Engineers</t>
  </si>
  <si>
    <t>Exploring the Integration of Generative AI Tools in Software Testing Education</t>
  </si>
  <si>
    <t>Cultivating Software Quality Improvement in the Classroom</t>
  </si>
  <si>
    <t>Enhancing User Story Generation in Agile Software Development</t>
  </si>
  <si>
    <t>Integrating Conversational Large Language Models into Student Learning</t>
  </si>
  <si>
    <t>LLMs Integration in Software Engineering Team Projects: Roles and Challenges</t>
  </si>
  <si>
    <t>Learning without Limits: Analysing the Usage of Generative AI</t>
  </si>
  <si>
    <t>A friend or a foe? Evaluating ChatGPT's Impact on Students' CS</t>
  </si>
  <si>
    <t>An Exploration of How Generative AI Affects Workflow and Collaboration</t>
  </si>
  <si>
    <t>Generative AI in Student Software Development Projects: A User Study</t>
  </si>
  <si>
    <t>How Far Are We? The Triumphs and Trials of Generative AI in Education</t>
  </si>
  <si>
    <t>Exploring Student Interactions with AI in Programming Training</t>
  </si>
  <si>
    <t>Eyes on the Code: Mapping Critical Thinking Through Eye-Tracking for Student-LLM Coding Interactions</t>
  </si>
  <si>
    <t>Understanding Help-Seeking Behavior of Students Using LLMs</t>
  </si>
  <si>
    <t>Teaching Refactoring to Improve Code Quality with ChatGPT</t>
  </si>
  <si>
    <t>Supporting Self-Reflection at Scale with Large Language Models</t>
  </si>
  <si>
    <t>Exploring the Use of Large Language Models in Requirements Engineering</t>
  </si>
  <si>
    <t>Does ChatGPT Help With Introductory Programming? An Experience Report</t>
  </si>
  <si>
    <t>``Person is a person, a tool is a tool'' - ChatGPT's Role in Student Learning</t>
  </si>
  <si>
    <t>Integrating Natural Language Prompting Tasks in Introductory Programming</t>
  </si>
  <si>
    <t>An Empirical Study on How Large Language Models Impact Software Quality</t>
  </si>
  <si>
    <t>Students' Use of GitHub Copilot for Working with Large Codebases</t>
  </si>
  <si>
    <t>Quack the Code: A Computer Game Show Offers Learning Through LLMs</t>
  </si>
  <si>
    <t>Evaluation of LLM Tools for Feedback Generation in a Course</t>
  </si>
  <si>
    <t>ChatGPT in Programming Education: An Empirical Study on Its Impact</t>
  </si>
  <si>
    <t>The Effects of Github Copilot on Computing Students' Programming Skills</t>
  </si>
  <si>
    <t>Examining the Usage of Generative AI Models in Student Learning Activities</t>
  </si>
  <si>
    <t>On the Role and Impact of GenAI Tools in Software Engineering Education</t>
  </si>
  <si>
    <t>How Students Use Generative AI for Software Testing: An Observational Study</t>
  </si>
  <si>
    <t>LLMs Integration in Software Engineering Team Projects</t>
  </si>
  <si>
    <t>Students' Perceptions of the Use of LLMs in Requirements Engineering</t>
  </si>
  <si>
    <t>Exploring the use of ChatGPT as a tool for learning and teaching</t>
  </si>
  <si>
    <t>Augmented intelligence in programming learning: Examining student perceptions</t>
  </si>
  <si>
    <t>Large Language Models (GPT) for automating feedback on programming</t>
  </si>
  <si>
    <t>Investigating the Impact of Code Generation Tools (ChatGPT &amp; Copilot)</t>
  </si>
  <si>
    <t>An Empirical Study on Usage and Perceptions of LLMs in a Software Engineering Course</t>
  </si>
  <si>
    <t>Evaluating the Effectiveness of LLMs in Introductory Computer Programming</t>
  </si>
  <si>
    <t>Insights from Social Shaping Theory: The Appropriation of Large Language Models</t>
  </si>
  <si>
    <t>AI-Tutoring in Software Engineering Education</t>
  </si>
  <si>
    <t>Plagiarism in the Age of Generative AI: Cheating Method Chan</t>
  </si>
  <si>
    <t>Impact of Guidance and Interaction Strategies for LLM Use</t>
  </si>
  <si>
    <t>Source</t>
  </si>
  <si>
    <t>Ostojic, Dragana; Liu, Yu David; Mernik, Marjan</t>
  </si>
  <si>
    <t>Zhang, Zhengdong; Dong, Zihan; Shi, Yang; F</t>
  </si>
  <si>
    <t>Lopez-Fernandez, Daniel; Vergaz, Ricardo</t>
  </si>
  <si>
    <t>Takeringsaksiri, Wannita; Warusavitarne, Cles</t>
  </si>
  <si>
    <t>Park, Seong Min; Ho, Marco; Lin, Michael Pin</t>
  </si>
  <si>
    <t>Brockenbrough, Allan; Salinas, Dominic</t>
  </si>
  <si>
    <t>Naman, Agrawal; Shariffdeen, Ridwan; Wang</t>
  </si>
  <si>
    <t>Baresi, Luciano; De Lucia, Andrea; Di Marco</t>
  </si>
  <si>
    <t>Choudhuri, Rudrajit; Ramakrishnan, Ambaree</t>
  </si>
  <si>
    <t>Halder, Susmita; Pierce, Mary; Fernando Cap</t>
  </si>
  <si>
    <t>AlOmar, Eman Abdullah; Mkaouer, Mohamed</t>
  </si>
  <si>
    <t>Ramasamy, Vijayalakshmi; Ramamoorthy, Su</t>
  </si>
  <si>
    <t>Liu, Yi</t>
  </si>
  <si>
    <t>Tuzmen, Ayca</t>
  </si>
  <si>
    <t>Kharrufa, Ahmed; Alghamdi, Sami; Aziz, Abee</t>
  </si>
  <si>
    <t>Cliff, Lee; Petrovska, Olga</t>
  </si>
  <si>
    <t>Mahmoud, May; Asare, Eric; Sakr, Nourhan; F</t>
  </si>
  <si>
    <t>Salomon, Marie; Chin, Kyle D.; Holmes, Reid</t>
  </si>
  <si>
    <t>Borghoff, Uwe M.; Minas, Mark; Schopp, Jan</t>
  </si>
  <si>
    <t>Choudhuri, Rudrajit; Liu, Dylan; Steinacher</t>
  </si>
  <si>
    <t>Fenu, Gianni; Galici, Roberta; Marras, Mirko</t>
  </si>
  <si>
    <t>Tahri Sqalli, Mohammed</t>
  </si>
  <si>
    <t>Kumar, Harsh; Reza, Mohi; Thomas-Mitchell</t>
  </si>
  <si>
    <t>Menolli, Andrê; Strik, Bruno; Rodrigues, Lu</t>
  </si>
  <si>
    <t>Kumar, Harsh; Xiao, Ruiwei; Lawson, Benjami</t>
  </si>
  <si>
    <t>Sampaio, Savio Sousa; Meireles, Maria Alcim</t>
  </si>
  <si>
    <t>Xue, Yuankai; Chen, Hanlin; Bai, Gina R.; Ta</t>
  </si>
  <si>
    <t>Hyrynsalmi, Sonja M.; Tuape, Micheal; Knutas</t>
  </si>
  <si>
    <t>Kerslake, Chris; Denny, Paul; Smith David H.</t>
  </si>
  <si>
    <t>Mezzaro, Simone; Gambi, Alessio; Fraser, Go</t>
  </si>
  <si>
    <t>Shah, Anshul; Chernova, Anya; Tomson, Elen</t>
  </si>
  <si>
    <t>Kelly, Kathleen Marie; Wu, Bo; Liebe, Christin</t>
  </si>
  <si>
    <t>Carlos Alerio-Hoyos &amp; Carlos Delgado Kloos</t>
  </si>
  <si>
    <t>Md Istiak Hossain Shihab; Christopher Hundh</t>
  </si>
  <si>
    <t>Rufeng Chen; Shuaishuai Jiang; Jiyun Shen</t>
  </si>
  <si>
    <t>Qiaolin Qin; Ronnie de Souza Santos; Rodrigo</t>
  </si>
  <si>
    <t>Baris Ardic; Quentin Le Dilavrec; Andy Zaidm</t>
  </si>
  <si>
    <t>Ahmed Kharrufa; Sami Alghamdi</t>
  </si>
  <si>
    <t>Sharon Guardado; Risha Parveen; Zheying Zh</t>
  </si>
  <si>
    <t>Basit Qureshi</t>
  </si>
  <si>
    <t>Ramazan Yilmaz; Fatma Gökşen Yilmaz</t>
  </si>
  <si>
    <t>Maciej Pankiewicz; Ryan S. Baker</t>
  </si>
  <si>
    <t>Joella Schouwenaar</t>
  </si>
  <si>
    <t>Sachith S. Rasnayaka et al.</t>
  </si>
  <si>
    <t>Wenhan Lyu; Yimeng Wang; Tingting (Rachel)</t>
  </si>
  <si>
    <t>A. Padiyath; X. Hou et al.</t>
  </si>
  <si>
    <t>Eduard Frankford; Clemens Sauerwein; Patric</t>
  </si>
  <si>
    <t>Binglin Chen; Colleen M. Lewis; Matthew Wes</t>
  </si>
  <si>
    <t>Harsh Kumar; Ilya Musabirov; Mohi Reza; Jiak</t>
  </si>
  <si>
    <t>James Prather; Brent N Reeves; Juho Leinon</t>
  </si>
  <si>
    <t>MATHEMATICS</t>
  </si>
  <si>
    <t>THIRTY-EIGTH AAAI CONFERENCE ON ARTIFICIAL INTELLIGENCE, VOL 38 NO 21</t>
  </si>
  <si>
    <t>APPLIED SCIENCES-BASEL</t>
  </si>
  <si>
    <t>2024 IEEE 48th Annual Computers, Software, and Applications Conference (COMPSAC)</t>
  </si>
  <si>
    <t>2025 IEEE Global Engineering Education Conference (EDUCON)</t>
  </si>
  <si>
    <t>International Journal of Engineering Education</t>
  </si>
  <si>
    <t>2025 IEEE/ACM International Workshop on Large Language Models for Code (LLM4Code)</t>
  </si>
  <si>
    <t>2025 IEEE/ACM 37th International Conference on Software Engineering Education and Training (CSEE&amp;T)</t>
  </si>
  <si>
    <t>IEEE Access</t>
  </si>
  <si>
    <t>2024 36th International Conference on Software Engineering Education and Training (CSEE&amp;T)</t>
  </si>
  <si>
    <t>2024 IEEE Frontiers in Education Conference (FIE)</t>
  </si>
  <si>
    <t>ACM Trans. Comput. Educ.</t>
  </si>
  <si>
    <t>Proceedings of the 9th Conference on Computing Education Practice</t>
  </si>
  <si>
    <t>Proceedings of the 2025 29th International Conference on Evaluation and Assessment in Software Engineering Companion</t>
  </si>
  <si>
    <t>Proceedings of the 2025 ACM SIGPLAN International Symposium on SPLASH-E</t>
  </si>
  <si>
    <t>PROCEEDINGS OF THE 6TH EUROPEAN CONFERENCE ON SOFTWARE ENGINEERING EDUCATION, ECSEE 2025</t>
  </si>
  <si>
    <t>Proceedings of the IEEE/ACM 46th International Conference on Software Engineering</t>
  </si>
  <si>
    <t>Adjunct Proceedings of the 32nd ACM Conference on User Modeling, Adaptation and Personalization</t>
  </si>
  <si>
    <t>Proceedings of the 16th Biannual Conference of the Italian SIGCHI Chapter</t>
  </si>
  <si>
    <t>Proceedings of the 4th International Workshop on Data Systems Education: Bridging Education Practice with Education Research</t>
  </si>
  <si>
    <t>Proceedings of the XXIII Brazilian Symposium on Software Quality</t>
  </si>
  <si>
    <t>PROCEEDINGS OF THE ELEVENTH ACM CONFERENCE ON LEARNING@SCALE, L@S 2024</t>
  </si>
  <si>
    <t>2024 IEEE/ACM 46th International Conference on Software Engineering: Software Engineering Education and Training (ICSE-SEET)</t>
  </si>
  <si>
    <t>COMPANION PROCEEDINGS OF THE 33RD ACM INTERNATIONAL CONFERENCE ON THE FOUNDATIONS OF SOFTWARE ENGINEERING, FSE COMPANION 2025</t>
  </si>
  <si>
    <t>Proceedings of the 2024 on ACM Virtual Global Computing Education Conference V. 1</t>
  </si>
  <si>
    <t>PROCEEDINGS OF 2024 28TH INTERNATION CONFERENCE ON EVALUATION AND ASSESSMENT IN SOFTWARE ENGINEERING, EASE 2024</t>
  </si>
  <si>
    <t>Proceedings of the 56th ACM Technical Symposium on Computer Science Education V. 1</t>
  </si>
  <si>
    <t>Proceedings of the 30th ACM Conference on Innovation and Technology in Computer Science Education V. 1</t>
  </si>
  <si>
    <t>Int J Artif Intell Educ</t>
  </si>
  <si>
    <t>Proceedings of the 2025 ACM Conference on International Computing Education Research V.1</t>
  </si>
  <si>
    <t>2025 2nd IEEE/ACM International Conference on AI-powered Software (AIware)</t>
  </si>
  <si>
    <t>IEEE/ACM ICSE Software Engineering Education and Training (ICSE SEET 2026)</t>
  </si>
  <si>
    <t>Educ.Sci.</t>
  </si>
  <si>
    <t>ACM Transactions on Computing Education, Volume 26</t>
  </si>
  <si>
    <t>2025 IEEE 33rd International Requirements Engineering Conference (RE)</t>
  </si>
  <si>
    <t>12th International Conference on Computer Supported Education</t>
  </si>
  <si>
    <t>Computers and Education: Artificial Intelligence</t>
  </si>
  <si>
    <t>ICCE 2023</t>
  </si>
  <si>
    <t>17th International Conference on Computer Supported Education</t>
  </si>
  <si>
    <t>ICSE 2024</t>
  </si>
  <si>
    <t>11th ACM Conference on Learning @ Scale</t>
  </si>
  <si>
    <t>ACM Conference on International Computing Education Research</t>
  </si>
  <si>
    <t>Proceedings of the 46th International Conference on Software Engineering: Software Engineering Education and Training</t>
  </si>
  <si>
    <t>IEEE Transactions on Learning Technologies</t>
  </si>
  <si>
    <t>Proceedings of the Eleventh ACM Conference on Learning @ Scale</t>
  </si>
  <si>
    <t>Proceedings of the 2024 ACM Conference on International Computing Education Research - Volume 1</t>
  </si>
  <si>
    <t>Venue</t>
  </si>
  <si>
    <t>Educ.Sci. 2026</t>
  </si>
  <si>
    <t>Experiment</t>
  </si>
  <si>
    <t>Mixed</t>
  </si>
  <si>
    <t>High</t>
  </si>
  <si>
    <t>Medium</t>
  </si>
  <si>
    <t>Survey</t>
  </si>
  <si>
    <t>Low-Medium</t>
  </si>
  <si>
    <t xml:space="preserve">Medium </t>
  </si>
  <si>
    <t xml:space="preserve">High </t>
  </si>
  <si>
    <t>Very High</t>
  </si>
  <si>
    <t>Medium–High</t>
  </si>
  <si>
    <t>Empirical study</t>
  </si>
  <si>
    <t>Low</t>
  </si>
  <si>
    <t>ChatGPT improved coding efficiency and reduced task completion time but decreased creativity and increased reliance on generated solutions.</t>
  </si>
  <si>
    <t>GPT-generated hints improved assignment success rates and reduced solving time, but students showed signs of overreliance on AI feedback.</t>
  </si>
  <si>
    <t>Qualitative study</t>
  </si>
  <si>
    <t>MIXED</t>
  </si>
  <si>
    <t>Other</t>
  </si>
  <si>
    <t>Case study</t>
  </si>
  <si>
    <t>ChatGPT only</t>
  </si>
  <si>
    <t>Generic LLM / Unspecified</t>
  </si>
  <si>
    <t>GitHub Copilot only</t>
  </si>
  <si>
    <t>Multiple tools</t>
  </si>
  <si>
    <t>Custom / Specialized tool</t>
  </si>
  <si>
    <t>LAB - Laboratory work</t>
  </si>
  <si>
    <t>INL - Individual assignment</t>
  </si>
  <si>
    <t>PRO - Group project</t>
  </si>
  <si>
    <t>SEM - Seminar preparation</t>
  </si>
  <si>
    <t>Category</t>
  </si>
  <si>
    <t>Count</t>
  </si>
  <si>
    <t>%</t>
  </si>
  <si>
    <t>TOTAL</t>
  </si>
  <si>
    <t>100.0%</t>
  </si>
  <si>
    <t>Feedback &amp; Assessment Design</t>
  </si>
  <si>
    <t>Performance &amp; Productivity</t>
  </si>
  <si>
    <t>Overreliance &amp; Skill Loss</t>
  </si>
  <si>
    <t>Academic Integrity</t>
  </si>
  <si>
    <t>Collaboration &amp; Workflow</t>
  </si>
  <si>
    <t>Finding Theme</t>
  </si>
  <si>
    <t>Main_Finding (open coding)</t>
  </si>
  <si>
    <t>Finding_Theme (axial coding)</t>
  </si>
  <si>
    <t>ChatGPT did not significantly affect students’ performance in practical assignments, midterm exams, or final grades when assessment methods were adjusted (e.g., assignment defense, paper-based exams).</t>
  </si>
  <si>
    <t>Students perceived ChatGPT-generated feedback as largely aligning with formative feedback guidelines and preferred feedback that included their code due to its higher specificity, clarity, and corrective nature.</t>
  </si>
  <si>
    <t>ChatGPT usage was positively correlated with student performance in a practical exam, with higher-performing students using it more effectively, while prior knowledge significantly influenced successful use.</t>
  </si>
  <si>
    <t>Qualitative Study</t>
  </si>
  <si>
    <t>AI code completion improves student productivity and acts as a coding tutor, but over-reliance leads to shallow understanding, reduced problem-solving skills, and concerns about assessment validity.</t>
  </si>
  <si>
    <t>GitHub Copilot improves productivity in routine coding tasks but performs poorly in complex low-level programming, while AI-free assessments reveal significant declines in student performance, indicating dependency that hinders independent problem-solving.</t>
  </si>
  <si>
    <t>AI-assisted students produced higher-quality user stories (≈17% improvement) and completed tasks faster (≈38%), but ChatGPT struggled with grouping related feedback and generating proper Definitions of Done, requiring students to critically review and revise AI outputs.</t>
  </si>
  <si>
    <t>Students primarily used LLMs for code generation and implementation tasks, with interaction patterns evolving over time as prompting skills improved. Conversational interaction with ChatGPT enabled iterative refinement, producing more concise and usable code, while AI-generated code often required human modification and could introduce unnecessary complexity.</t>
  </si>
  <si>
    <t>Students perceive LLMs as most useful for low-level software development tasks such as coding, debugging, testing, and documentation, where they improve productivity and learning. However, LLMs are considered less effective for high-level tasks like requirements analysis, modeling, and architecture, mainly due to lack of contextual understanding and abstraction capabilities. Students also face challenges in prompt design, interaction, and adapting LLM outputs to their specific project context.</t>
  </si>
  <si>
    <t>Students use LLMs across different stages of software engineering learning and implementation, with benefits mainly in incremental learning and initial implementation (e.g., understanding concepts, generating code, and getting guidance). However, LLMs create significant challenges for beginners and advanced tasks, including difficulties in prompting, verifying outputs, aligning AI with context, and understanding underlying reasoning. These challenges lead to negative impacts on learning, task performance, confidence, and willingness to adopt LLMs.</t>
  </si>
  <si>
    <t>LLM tools significantly speed up the creation of testing artifacts and support learning, but cannot replace manual testing. Human oversight is required due to limitations such as missing features, hallucinations, and incomplete coverage.</t>
  </si>
  <si>
    <t>ChatGPT helps students resolve software quality issues and improves debugging efficiency (85.9% found it useful), but struggles with complex design problems (e.g., God Class) due to context limitations, requiring critical evaluation and human oversight.</t>
  </si>
  <si>
    <t>AI and prompt engineering improve user story quality, completeness, and creativity, and enhance students’ problem-solving and real-world readiness, but effectiveness depends on prompt quality.</t>
  </si>
  <si>
    <t>ChatGPT improves student performance and supports problem understanding, modeling, and debugging, but is less effective for specialized tasks and requires critical thinking and proper prompt design.</t>
  </si>
  <si>
    <t>LLMs improve team productivity, confidence, and learning by acting as assistant, peer, and tutor. However, they can lead to over-reliance, hide students’ actual skills, and introduce poorly understood or low-quality code that negatively affects team collaboration.</t>
  </si>
  <si>
    <t>Allowing GenAI in summative assignments leads to more ambitious, higher-quality projects and positive student perceptions, but raises concerns about academic integrity, citation practices, and potential reduced focus on core programming skills.</t>
  </si>
  <si>
    <t>ChatGPT improves task completion speed and short-term performance, but leads to slightly worse performance in testing and retention phases, indicating potential negative effects on deeper learning and skill retention.</t>
  </si>
  <si>
    <t>GenAI significantly reshapes student workflows and collaboration by accelerating implementation and reducing time spent on design and requirements, while decreasing direct peer interaction as students increasingly rely on AI as their primary support tool.</t>
  </si>
  <si>
    <t>Students widely adopt GenAI tools in software development projects, finding them especially useful for coding and documentation, but face significant limitations such as incorrect outputs, poor integration with existing code, and reduced effectiveness in design-related tasks.</t>
  </si>
  <si>
    <t>Using ChatGPT did not significantly improve students’ productivity or self-efficacy in software engineering tasks, but significantly increased frustration and introduced errors, uncertainty, and cognitive challenges due to issues such as hallucinations, incorrect guidance, and lack of transparency.</t>
  </si>
  <si>
    <t>Students exhibit diverse interaction patterns when using ChatGPT in programming tasks, with the majority (59%) adopting passive problem-solving by accepting AI-generated solutions without modification, while only a minority engage actively in debugging, optimization, or independent problem-solving.</t>
  </si>
  <si>
    <t>LLM use reduces students’ critical thinking effort, especially among novice programmers who rely on AI outputs and fail to detect errors, while experienced students engage more in evaluation and verification of AI-generated code</t>
  </si>
  <si>
    <t>LLMs increase student engagement and reduce perceived mental effort compared to web search, but do not significantly improve performance outcomes.</t>
  </si>
  <si>
    <t>ChatGPT supports learning of code refactoring and development of computational thinking skills, but requires critical evaluation and human validation due to inaccuracies and limitations.</t>
  </si>
  <si>
    <t>LLM-guided self-reflection improves students’ self-confidence and engagement, but shows limited or non-significant improvements in exam performance compared to other reflection methods.</t>
  </si>
  <si>
    <t>ChatGPT can effectively support requirements elicitation by generating relevant and innovative requirements, but requires human supervision due to issues such as vagueness, errors, and misclassification of requirements.</t>
  </si>
  <si>
    <t>Using ChatGPT does not significantly improve students’ learning performance in introductory programming tasks, while increasing reliance on AI and reducing the use of other learning resources.</t>
  </si>
  <si>
    <t>Students increasingly use ChatGPT as their primary help-seeking tool due to its speed and accessibility, which reduces peer interaction, although students still recognize the importance of social learning and collaboration</t>
  </si>
  <si>
    <t>Natural language prompting tasks supported by LLMs engage a broader range of students and reduce performance differences between weaker and stronger students, but require new skills such as prompt design and code evaluation.</t>
  </si>
  <si>
    <t>Students using LLM assistance often showed worse performance, producing fewer and lower-quality tests due to over-reliance, blind trust in outputs, and inability to critically evaluate or correct generated solutions.</t>
  </si>
  <si>
    <t>Students frequently use one-shot prompting with LLMs, attempting to generate complete solutions at once, which leads to cycles of debugging, regeneration, and inefficient workflows due to limitations in generated code.</t>
  </si>
  <si>
    <t>LLM-powered gamified learning tools increase student engagement and motivation, particularly around exam preparation, but their actual usage remains limited and dependent on usability and integration into coursework.</t>
  </si>
  <si>
    <t>LLMs show limited reliability in generating accurate feedback on programming assignments, achieving around 50% accuracy and frequently producing incorrect or overly cautious assessments compared to expert evaluations.</t>
  </si>
  <si>
    <t>GitHub Copilot significantly improves students’ efficiency and task performance in programming tasks, but reduces manual coding effort and may lead to weaker understanding due to reliance on AI-generated solutions</t>
  </si>
  <si>
    <t>Using GenAI significantly improves task performance, especially for beginners, but does not consistently lead to knowledge gains, as students often rely on generated solutions without developing deeper understanding.</t>
  </si>
  <si>
    <t>Students widely adopt GenAI tools for learning and coding tasks, reporting benefits such as improved understanding and productivity, but also facing challenges including lack of explanation, difficulty adapting outputs, and concerns about over-reliance and academic integrity.</t>
  </si>
  <si>
    <t>Students use GenAI to speed up unit test creation and reduce cognitive effort, but often face issues with test quality, lack of trust, and reduced ownership, while different usage strategies do not significantly improve test effectiveness.</t>
  </si>
  <si>
    <t>GenAI tools improve productivity, support learning through scaffolding and idea generation, and enhance team confidence, but can also lead to overreliance, reduced skill development, and difficulties in understanding AI-generated code within team settings.</t>
  </si>
  <si>
    <t>LLMs improve students’ understanding of requirements engineering concepts, increase engagement and productivity, and support tasks like elicitation and documentation, but raise concerns about academic integrity, overreliance, and reliability of AI-generated outputs.</t>
  </si>
  <si>
    <t>Students using ChatGPT achieved higher scores and improved performance in programming assessment tasks, but the generated code often contained inaccuracies and inconsistencies, requiring additional debugging and limiting full correctness.</t>
  </si>
  <si>
    <t>Students perceive ChatGPT as a valuable support tool that provides fast answers, improves debugging and confidence, and enhances learning efficiency, but it may lead to overreliance, reduced independent thinking, and occasional incorrect or incomplete solutions.</t>
  </si>
  <si>
    <t>GPT-generated feedback improves students’ performance and efficiency in programming assignments by increasing successful submissions and reducing time to completion, but it can lead to reduced use of traditional feedback and temporary overreliance on AI assistance.</t>
  </si>
  <si>
    <t>LLMs improve students’ productivity and support early-stage software development tasks such as code generation and debugging, but require significant human intervention and do not lead to higher code quality or correctness compared to traditional approaches.</t>
  </si>
  <si>
    <t>The use of an LLM-based assistant significantly improves students’ academic performance, particularly in assignments where its use is allowed, but raises concerns about reduced critical thinking and increasing reliance on human support over time.</t>
  </si>
  <si>
    <t>Students’ use of LLMs is strongly shaped by social factors such as peer behavior and career expectations, and early LLM use is associated with lower self-efficacy and slightly lower exam performance, particularly when it leads to over-reliance.</t>
  </si>
  <si>
    <t>AI-tutors provide timely and scalable feedback that supports students during programming assignments, but their effectiveness is limited by generic responses, occasional inaccuracies, and concerns about over-reliance affecting learning.</t>
  </si>
  <si>
    <t>The introduction of generative AI (e.g., ChatGPT) led to a modest increase in plagiarism and a shift in cheating methods, while higher levels of plagiarism are strongly associated with significant learning loss, reflected in lower final exam performance.</t>
  </si>
  <si>
    <t>Guidance strategies influence how students interact with LLMs (reducing copy-paste and improving query quality), but do not significantly improve performance; while confidence increases after guidance, both trust and confidence decline after actual LLM use.</t>
  </si>
  <si>
    <t>Generative AI creates a widening gap between students: stronger students use it to accelerate problem-solving effectively, while struggling students experience increased metacognitive difficulties, over-reliance, and an illusion of competence, often without real understanding.</t>
  </si>
  <si>
    <t>Use of Generative Artificial Intelligence in the Education of Software Verification and Validation</t>
  </si>
  <si>
    <t>GenAI helps students generate basic unit tests efficiently, but produces only partial coverage, frequently missing edge and corner cases, requiring students to critically evaluate and extend the tests using their own domain knowledge.</t>
  </si>
  <si>
    <t>Finding_Theme</t>
  </si>
  <si>
    <t>X</t>
  </si>
  <si>
    <t>Y</t>
  </si>
  <si>
    <t>Row Labels</t>
  </si>
  <si>
    <t>Grand Total</t>
  </si>
  <si>
    <t>Column Labels</t>
  </si>
  <si>
    <t>Count of Title</t>
  </si>
  <si>
    <t>Stoyanova Petrova, Snezha Shotarova; Slavi Lyubomirov</t>
  </si>
  <si>
    <t>LLM Tool Usage Distribution</t>
  </si>
  <si>
    <t>Distribution of Identified Finding Themes</t>
  </si>
  <si>
    <t>Prepared Dataset for Bubble Chart Visualization</t>
  </si>
  <si>
    <t>Relationship Between LLM Tools and Finding Themes</t>
  </si>
  <si>
    <t>Distribution of Research Methodologies</t>
  </si>
  <si>
    <t>Relationship Between LLM Tools and Examination Types</t>
  </si>
  <si>
    <t xml:space="preserve">Relationship Between Finding Themes and Examination Types </t>
  </si>
  <si>
    <t>Distribution of Examination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</si>
</sst>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7" x14ac:knownFonts="1">
    <font>
      <sz val="11"/>
      <color theme="1"/>
      <name val="Aptos Narrow"/>
      <family val="2"/>
      <scheme val="minor"/>
    </font>
    <font>
      <b/>
      <sz val="12"/>
      <color rgb="FFFFFFFF"/>
      <name val="Calibri"/>
    </font>
    <font>
      <sz val="11"/>
      <color rgb="FF000000"/>
      <name val="Calibri"/>
      <family val="2"/>
    </font>
    <font>
      <sz val="10"/>
      <color rgb="FF000000"/>
      <name val="Arial"/>
      <family val="2"/>
    </font>
    <font>
      <b/>
      <sz val="12"/>
      <color rgb="FFFFFFFF"/>
      <name val="Calibri"/>
      <family val="2"/>
    </font>
    <font>
      <sz val="10"/>
      <name val="Arial"/>
      <family val="2"/>
    </font>
    <font>
      <sz val="10"/>
      <color theme="1"/>
      <name val="Arial"/>
      <family val="2"/>
    </font>
    <font>
      <u/>
      <sz val="11"/>
      <color theme="10"/>
      <name val="Aptos Narrow"/>
      <family val="2"/>
      <scheme val="minor"/>
    </font>
    <font>
      <b/>
      <sz val="11"/>
      <color rgb="FFFFFFFF"/>
      <name val="Calibri"/>
    </font>
    <font>
      <b/>
      <sz val="10"/>
      <color rgb="FFFFFFFF"/>
      <name val="Calibri"/>
    </font>
    <font>
      <sz val="10"/>
      <name val="Calibri"/>
    </font>
    <font>
      <b/>
      <sz val="10"/>
      <name val="Calibri"/>
    </font>
    <font>
      <sz val="10"/>
      <color rgb="FF595959"/>
      <name val="Calibri"/>
    </font>
    <font>
      <sz val="10"/>
      <name val="Calibri"/>
      <family val="2"/>
    </font>
    <font>
      <b/>
      <sz val="11"/>
      <color rgb="FFFFFFFF"/>
      <name val="Calibri"/>
      <family val="2"/>
    </font>
    <font>
      <b/>
      <sz val="11"/>
      <color theme="0"/>
      <name val="Aptos Narrow"/>
      <family val="2"/>
      <scheme val="minor"/>
    </font>
    <font>
      <b/>
      <sz val="11"/>
      <color theme="0"/>
      <name val="Calibri"/>
      <family val="2"/>
    </font>
  </fonts>
  <fills count="11">
    <fill>
      <patternFill patternType="none"/>
    </fill>
    <fill>
      <patternFill patternType="gray125"/>
    </fill>
    <fill>
      <patternFill patternType="solid">
        <fgColor rgb="FF4472C4"/>
        <bgColor rgb="FF4472C4"/>
      </patternFill>
    </fill>
    <fill>
      <patternFill patternType="solid">
        <fgColor rgb="FF1F3864"/>
      </patternFill>
    </fill>
    <fill>
      <patternFill patternType="solid">
        <fgColor rgb="FF2E75B6"/>
      </patternFill>
    </fill>
    <fill>
      <patternFill patternType="solid">
        <fgColor rgb="FFBDD7EE"/>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7"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2">
    <xf numFmtId="0" fontId="0" fillId="0" borderId="0"/>
    <xf numFmtId="0" fontId="7" fillId="0" borderId="0" applyNumberFormat="0" applyFill="0" applyBorder="0" applyAlignment="0" applyProtection="0"/>
  </cellStyleXfs>
  <cellXfs count="49">
    <xf numFmtId="0" fontId="0" fillId="0" borderId="0" xfId="0"/>
    <xf numFmtId="0" fontId="1" fillId="2" borderId="1" xfId="0" applyFont="1" applyFill="1" applyBorder="1" applyAlignment="1">
      <alignment horizontal="center" vertical="center"/>
    </xf>
    <xf numFmtId="0" fontId="0" fillId="0" borderId="0" xfId="0" applyAlignment="1">
      <alignment horizontal="right"/>
    </xf>
    <xf numFmtId="0" fontId="2" fillId="0" borderId="0" xfId="0" applyFont="1" applyAlignment="1">
      <alignment horizontal="right"/>
    </xf>
    <xf numFmtId="0" fontId="2" fillId="0" borderId="0" xfId="0" applyFont="1" applyAlignment="1">
      <alignment horizontal="left" vertical="top"/>
    </xf>
    <xf numFmtId="0" fontId="3" fillId="0" borderId="0" xfId="0" applyFont="1"/>
    <xf numFmtId="0" fontId="4" fillId="2" borderId="1" xfId="0" applyFont="1" applyFill="1" applyBorder="1" applyAlignment="1">
      <alignment horizontal="center" vertical="center"/>
    </xf>
    <xf numFmtId="0" fontId="5" fillId="0" borderId="0" xfId="0" applyFont="1"/>
    <xf numFmtId="0" fontId="6" fillId="0" borderId="0" xfId="0" applyFont="1" applyAlignment="1">
      <alignment horizontal="right"/>
    </xf>
    <xf numFmtId="0" fontId="6" fillId="0" borderId="0" xfId="0" applyFont="1"/>
    <xf numFmtId="0" fontId="2" fillId="0" borderId="0" xfId="0" applyFont="1" applyAlignment="1">
      <alignment horizontal="left"/>
    </xf>
    <xf numFmtId="0" fontId="6" fillId="0" borderId="0" xfId="0" applyFont="1" applyAlignment="1">
      <alignment horizontal="left"/>
    </xf>
    <xf numFmtId="0" fontId="6" fillId="0" borderId="0" xfId="0" applyFont="1" applyAlignment="1">
      <alignment horizontal="left" vertical="top" wrapText="1"/>
    </xf>
    <xf numFmtId="0" fontId="6" fillId="0" borderId="0" xfId="1" applyFont="1"/>
    <xf numFmtId="0" fontId="0" fillId="0" borderId="0" xfId="0" applyAlignment="1">
      <alignment wrapText="1"/>
    </xf>
    <xf numFmtId="0" fontId="0" fillId="0" borderId="0" xfId="0" applyAlignment="1">
      <alignment horizontal="left" vertical="top" wrapText="1"/>
    </xf>
    <xf numFmtId="0" fontId="9" fillId="4" borderId="2" xfId="0" applyFont="1" applyFill="1" applyBorder="1" applyAlignment="1">
      <alignment horizontal="center" vertical="center"/>
    </xf>
    <xf numFmtId="3" fontId="11" fillId="0" borderId="2" xfId="0" applyNumberFormat="1" applyFont="1" applyBorder="1" applyAlignment="1">
      <alignment horizontal="center" vertical="center"/>
    </xf>
    <xf numFmtId="164" fontId="12" fillId="0" borderId="2" xfId="0" applyNumberFormat="1" applyFont="1" applyBorder="1" applyAlignment="1">
      <alignment horizontal="center" vertical="center"/>
    </xf>
    <xf numFmtId="0" fontId="11" fillId="5" borderId="2" xfId="0" applyFont="1" applyFill="1" applyBorder="1" applyAlignment="1">
      <alignment horizontal="left" vertical="center" indent="1"/>
    </xf>
    <xf numFmtId="3" fontId="11" fillId="5" borderId="2" xfId="0" applyNumberFormat="1" applyFont="1" applyFill="1" applyBorder="1" applyAlignment="1">
      <alignment horizontal="center" vertical="center"/>
    </xf>
    <xf numFmtId="164" fontId="11" fillId="5" borderId="2" xfId="0" applyNumberFormat="1" applyFont="1" applyFill="1" applyBorder="1" applyAlignment="1">
      <alignment horizontal="center" vertical="center"/>
    </xf>
    <xf numFmtId="1" fontId="9" fillId="4" borderId="2" xfId="0" applyNumberFormat="1" applyFont="1" applyFill="1" applyBorder="1" applyAlignment="1">
      <alignment horizontal="center" vertical="center"/>
    </xf>
    <xf numFmtId="1" fontId="12" fillId="0" borderId="2" xfId="0" applyNumberFormat="1" applyFont="1" applyBorder="1" applyAlignment="1">
      <alignment horizontal="center" vertical="center"/>
    </xf>
    <xf numFmtId="1" fontId="0" fillId="0" borderId="0" xfId="0" applyNumberFormat="1"/>
    <xf numFmtId="0" fontId="10" fillId="6" borderId="2" xfId="0" applyFont="1" applyFill="1" applyBorder="1" applyAlignment="1">
      <alignment horizontal="left" vertical="center" indent="1"/>
    </xf>
    <xf numFmtId="3" fontId="11" fillId="6" borderId="2" xfId="0" applyNumberFormat="1" applyFont="1" applyFill="1" applyBorder="1" applyAlignment="1">
      <alignment horizontal="center" vertical="center"/>
    </xf>
    <xf numFmtId="1" fontId="11" fillId="6" borderId="2" xfId="0" applyNumberFormat="1" applyFont="1" applyFill="1" applyBorder="1" applyAlignment="1">
      <alignment horizontal="center" vertical="center"/>
    </xf>
    <xf numFmtId="0" fontId="13" fillId="0" borderId="2" xfId="0" applyFont="1" applyBorder="1" applyAlignment="1">
      <alignment horizontal="left" vertical="center" indent="1"/>
    </xf>
    <xf numFmtId="3" fontId="13" fillId="0" borderId="2" xfId="0" applyNumberFormat="1" applyFont="1" applyBorder="1" applyAlignment="1">
      <alignment horizontal="center" vertical="center"/>
    </xf>
    <xf numFmtId="0" fontId="12" fillId="0" borderId="2" xfId="0" applyFont="1" applyBorder="1" applyAlignment="1">
      <alignment horizontal="center" vertical="center"/>
    </xf>
    <xf numFmtId="0" fontId="9" fillId="4" borderId="3" xfId="0" applyFont="1" applyFill="1" applyBorder="1" applyAlignment="1">
      <alignment horizontal="center" vertical="center"/>
    </xf>
    <xf numFmtId="0" fontId="0" fillId="0" borderId="0" xfId="0" applyAlignment="1">
      <alignment horizontal="left"/>
    </xf>
    <xf numFmtId="0" fontId="0" fillId="8" borderId="0" xfId="0" applyFill="1" applyAlignment="1">
      <alignment horizontal="left"/>
    </xf>
    <xf numFmtId="0" fontId="0" fillId="8" borderId="0" xfId="0" applyFill="1"/>
    <xf numFmtId="0" fontId="0" fillId="10" borderId="0" xfId="0" applyFill="1"/>
    <xf numFmtId="0" fontId="14" fillId="3" borderId="0" xfId="0" applyFont="1" applyFill="1" applyAlignment="1">
      <alignment horizontal="center" vertical="center"/>
    </xf>
    <xf numFmtId="0" fontId="0" fillId="0" borderId="0" xfId="0"/>
    <xf numFmtId="0" fontId="8" fillId="3" borderId="0" xfId="0" applyFont="1" applyFill="1" applyAlignment="1">
      <alignment horizontal="center" vertical="center"/>
    </xf>
    <xf numFmtId="0" fontId="14" fillId="3" borderId="4" xfId="0" applyFont="1" applyFill="1" applyBorder="1" applyAlignment="1">
      <alignment horizontal="center" vertical="center"/>
    </xf>
    <xf numFmtId="0" fontId="8" fillId="3" borderId="4" xfId="0" applyFont="1" applyFill="1" applyBorder="1" applyAlignment="1">
      <alignment horizontal="center" vertical="center"/>
    </xf>
    <xf numFmtId="1" fontId="16" fillId="7" borderId="0" xfId="0" applyNumberFormat="1" applyFont="1" applyFill="1" applyAlignment="1">
      <alignment horizontal="center"/>
    </xf>
    <xf numFmtId="1" fontId="0" fillId="7" borderId="0" xfId="0" applyNumberFormat="1" applyFill="1" applyAlignment="1">
      <alignment horizontal="center"/>
    </xf>
    <xf numFmtId="165" fontId="16" fillId="9" borderId="5" xfId="0" applyNumberFormat="1" applyFont="1" applyFill="1" applyBorder="1" applyAlignment="1">
      <alignment horizontal="center"/>
    </xf>
    <xf numFmtId="165" fontId="0" fillId="9" borderId="6" xfId="0" applyNumberFormat="1" applyFill="1" applyBorder="1" applyAlignment="1">
      <alignment horizontal="center"/>
    </xf>
    <xf numFmtId="165" fontId="0" fillId="9" borderId="7" xfId="0" applyNumberFormat="1" applyFill="1" applyBorder="1" applyAlignment="1">
      <alignment horizontal="center"/>
    </xf>
    <xf numFmtId="0" fontId="16" fillId="9" borderId="0" xfId="0" applyFont="1" applyFill="1" applyAlignment="1">
      <alignment horizontal="center"/>
    </xf>
    <xf numFmtId="0" fontId="0" fillId="9" borderId="0" xfId="0" applyFill="1" applyAlignment="1">
      <alignment horizontal="center"/>
    </xf>
    <xf numFmtId="0" fontId="15" fillId="9" borderId="0" xfId="0" applyFont="1" applyFill="1" applyAlignment="1">
      <alignment horizontal="center"/>
    </xf>
  </cellXfs>
  <cellStyles count="2">
    <cellStyle name="Hyperlink" xfId="1" builtinId="8"/>
    <cellStyle name="Normal" xfId="0" builtinId="0"/>
  </cellStyles>
  <dxfs count="19">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4" tint="0.79998168889431442"/>
        </patternFill>
      </fill>
    </dxf>
    <dxf>
      <fill>
        <patternFill patternType="solid">
          <bgColor theme="4" tint="0.79998168889431442"/>
        </patternFill>
      </fill>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4" tint="0.79998168889431442"/>
        </patternFill>
      </fill>
    </dxf>
    <dxf>
      <fill>
        <patternFill patternType="solid">
          <bgColor theme="4" tint="0.79998168889431442"/>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Sheet3!$G$17</c:f>
              <c:strCache>
                <c:ptCount val="1"/>
              </c:strCache>
            </c:strRef>
          </c:tx>
          <c:spPr>
            <a:solidFill>
              <a:schemeClr val="accent1">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Sheet3!$H$16:$I$16</c:f>
              <c:numCache>
                <c:formatCode>General</c:formatCode>
                <c:ptCount val="2"/>
              </c:numCache>
            </c:numRef>
          </c:xVal>
          <c:yVal>
            <c:numRef>
              <c:f>Sheet3!$H$17:$I$17</c:f>
              <c:numCache>
                <c:formatCode>General</c:formatCode>
                <c:ptCount val="2"/>
              </c:numCache>
            </c:numRef>
          </c:yVal>
          <c:bubbleSize>
            <c:numRef>
              <c:f>Sheet3!$H$18:$I$18</c:f>
              <c:numCache>
                <c:formatCode>General</c:formatCode>
                <c:ptCount val="2"/>
              </c:numCache>
            </c:numRef>
          </c:bubbleSize>
          <c:bubble3D val="0"/>
          <c:extLst>
            <c:ext xmlns:c16="http://schemas.microsoft.com/office/drawing/2014/chart" uri="{C3380CC4-5D6E-409C-BE32-E72D297353CC}">
              <c16:uniqueId val="{00000000-10C9-42EA-A8A3-6FAA93E925AD}"/>
            </c:ext>
          </c:extLst>
        </c:ser>
        <c:ser>
          <c:idx val="1"/>
          <c:order val="1"/>
          <c:tx>
            <c:v>Bubble</c:v>
          </c:tx>
          <c:spPr>
            <a:solidFill>
              <a:schemeClr val="accent2">
                <a:alpha val="75000"/>
              </a:schemeClr>
            </a:solidFill>
            <a:ln w="25400">
              <a:noFill/>
            </a:ln>
            <a:effectLst/>
          </c:spPr>
          <c:invertIfNegative val="0"/>
          <c:dLbls>
            <c:dLbl>
              <c:idx val="0"/>
              <c:tx>
                <c:rich>
                  <a:bodyPr/>
                  <a:lstStyle/>
                  <a:p>
                    <a:fld id="{5F974BB6-B2F9-4C6D-BC92-0BCEAFEEFA5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84C-4AF4-97F3-43E83DEAD3F0}"/>
                </c:ext>
              </c:extLst>
            </c:dLbl>
            <c:dLbl>
              <c:idx val="1"/>
              <c:tx>
                <c:rich>
                  <a:bodyPr/>
                  <a:lstStyle/>
                  <a:p>
                    <a:fld id="{2256FA76-585E-4777-A37C-EA0330B4E26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84C-4AF4-97F3-43E83DEAD3F0}"/>
                </c:ext>
              </c:extLst>
            </c:dLbl>
            <c:dLbl>
              <c:idx val="2"/>
              <c:tx>
                <c:rich>
                  <a:bodyPr/>
                  <a:lstStyle/>
                  <a:p>
                    <a:fld id="{B8DEBFC2-5343-434A-933B-DF3B99AFC01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84C-4AF4-97F3-43E83DEAD3F0}"/>
                </c:ext>
              </c:extLst>
            </c:dLbl>
            <c:dLbl>
              <c:idx val="3"/>
              <c:tx>
                <c:rich>
                  <a:bodyPr/>
                  <a:lstStyle/>
                  <a:p>
                    <a:fld id="{1429EB50-79D5-4FEB-95B4-5FC72D8FF2C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84C-4AF4-97F3-43E83DEAD3F0}"/>
                </c:ext>
              </c:extLst>
            </c:dLbl>
            <c:dLbl>
              <c:idx val="4"/>
              <c:tx>
                <c:rich>
                  <a:bodyPr/>
                  <a:lstStyle/>
                  <a:p>
                    <a:fld id="{F3CB5D54-C09E-4E7B-BB98-827D0103EDB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84C-4AF4-97F3-43E83DEAD3F0}"/>
                </c:ext>
              </c:extLst>
            </c:dLbl>
            <c:dLbl>
              <c:idx val="5"/>
              <c:tx>
                <c:rich>
                  <a:bodyPr/>
                  <a:lstStyle/>
                  <a:p>
                    <a:fld id="{010C8786-AB8E-44A8-A7FE-D45AF3DC83F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84C-4AF4-97F3-43E83DEAD3F0}"/>
                </c:ext>
              </c:extLst>
            </c:dLbl>
            <c:dLbl>
              <c:idx val="6"/>
              <c:tx>
                <c:rich>
                  <a:bodyPr/>
                  <a:lstStyle/>
                  <a:p>
                    <a:fld id="{B6FE10AA-8C07-44D6-99FC-17A0C7A94FB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84C-4AF4-97F3-43E83DEAD3F0}"/>
                </c:ext>
              </c:extLst>
            </c:dLbl>
            <c:dLbl>
              <c:idx val="7"/>
              <c:tx>
                <c:rich>
                  <a:bodyPr/>
                  <a:lstStyle/>
                  <a:p>
                    <a:fld id="{FA1CCB93-C016-407E-8F88-9914779E76E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84C-4AF4-97F3-43E83DEAD3F0}"/>
                </c:ext>
              </c:extLst>
            </c:dLbl>
            <c:dLbl>
              <c:idx val="8"/>
              <c:tx>
                <c:rich>
                  <a:bodyPr/>
                  <a:lstStyle/>
                  <a:p>
                    <a:fld id="{AC3DDC9D-BE0B-4163-B80B-6A27FEA5B81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84C-4AF4-97F3-43E83DEAD3F0}"/>
                </c:ext>
              </c:extLst>
            </c:dLbl>
            <c:dLbl>
              <c:idx val="9"/>
              <c:tx>
                <c:rich>
                  <a:bodyPr/>
                  <a:lstStyle/>
                  <a:p>
                    <a:fld id="{AAC046FD-58B9-4469-97E2-FEA03ACBC98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84C-4AF4-97F3-43E83DEAD3F0}"/>
                </c:ext>
              </c:extLst>
            </c:dLbl>
            <c:dLbl>
              <c:idx val="10"/>
              <c:tx>
                <c:rich>
                  <a:bodyPr/>
                  <a:lstStyle/>
                  <a:p>
                    <a:fld id="{BDD38CD0-2091-4E23-9BA2-E32431CD6AC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84C-4AF4-97F3-43E83DEAD3F0}"/>
                </c:ext>
              </c:extLst>
            </c:dLbl>
            <c:dLbl>
              <c:idx val="11"/>
              <c:tx>
                <c:rich>
                  <a:bodyPr/>
                  <a:lstStyle/>
                  <a:p>
                    <a:fld id="{9A9EC386-4551-4406-8D50-C803DDA0360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84C-4AF4-97F3-43E83DEAD3F0}"/>
                </c:ext>
              </c:extLst>
            </c:dLbl>
            <c:dLbl>
              <c:idx val="12"/>
              <c:tx>
                <c:rich>
                  <a:bodyPr/>
                  <a:lstStyle/>
                  <a:p>
                    <a:fld id="{26DF801E-2DF1-4DAC-BA5B-9FC0C96F52B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84C-4AF4-97F3-43E83DEAD3F0}"/>
                </c:ext>
              </c:extLst>
            </c:dLbl>
            <c:dLbl>
              <c:idx val="13"/>
              <c:tx>
                <c:rich>
                  <a:bodyPr/>
                  <a:lstStyle/>
                  <a:p>
                    <a:fld id="{2459CE05-B6AF-4ED8-B5F4-060731D6801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84C-4AF4-97F3-43E83DEAD3F0}"/>
                </c:ext>
              </c:extLst>
            </c:dLbl>
            <c:dLbl>
              <c:idx val="14"/>
              <c:tx>
                <c:rich>
                  <a:bodyPr/>
                  <a:lstStyle/>
                  <a:p>
                    <a:fld id="{57795CFF-8F32-461A-918F-2E9F8497E29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84C-4AF4-97F3-43E83DEAD3F0}"/>
                </c:ext>
              </c:extLst>
            </c:dLbl>
            <c:dLbl>
              <c:idx val="15"/>
              <c:tx>
                <c:rich>
                  <a:bodyPr/>
                  <a:lstStyle/>
                  <a:p>
                    <a:fld id="{E4A912DB-30F2-4154-9296-26AAB50689D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84C-4AF4-97F3-43E83DEAD3F0}"/>
                </c:ext>
              </c:extLst>
            </c:dLbl>
            <c:dLbl>
              <c:idx val="16"/>
              <c:tx>
                <c:rich>
                  <a:bodyPr/>
                  <a:lstStyle/>
                  <a:p>
                    <a:fld id="{35100EA5-574C-4EF8-9F58-4AA73C7397C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84C-4AF4-97F3-43E83DEAD3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Sheet3!$D$14:$D$30</c:f>
              <c:numCache>
                <c:formatCode>General</c:formatCode>
                <c:ptCount val="17"/>
                <c:pt idx="0">
                  <c:v>1</c:v>
                </c:pt>
                <c:pt idx="1">
                  <c:v>1</c:v>
                </c:pt>
                <c:pt idx="2">
                  <c:v>1</c:v>
                </c:pt>
                <c:pt idx="3">
                  <c:v>2</c:v>
                </c:pt>
                <c:pt idx="4">
                  <c:v>2</c:v>
                </c:pt>
                <c:pt idx="5">
                  <c:v>2</c:v>
                </c:pt>
                <c:pt idx="6">
                  <c:v>3</c:v>
                </c:pt>
                <c:pt idx="7">
                  <c:v>3</c:v>
                </c:pt>
                <c:pt idx="8">
                  <c:v>3</c:v>
                </c:pt>
                <c:pt idx="9">
                  <c:v>3</c:v>
                </c:pt>
                <c:pt idx="10">
                  <c:v>4</c:v>
                </c:pt>
                <c:pt idx="11">
                  <c:v>4</c:v>
                </c:pt>
                <c:pt idx="12">
                  <c:v>4</c:v>
                </c:pt>
                <c:pt idx="13">
                  <c:v>4</c:v>
                </c:pt>
                <c:pt idx="14">
                  <c:v>5</c:v>
                </c:pt>
                <c:pt idx="15">
                  <c:v>6</c:v>
                </c:pt>
                <c:pt idx="16">
                  <c:v>6</c:v>
                </c:pt>
              </c:numCache>
            </c:numRef>
          </c:xVal>
          <c:yVal>
            <c:numRef>
              <c:f>Sheet3!$E$14:$E$30</c:f>
              <c:numCache>
                <c:formatCode>General</c:formatCode>
                <c:ptCount val="17"/>
                <c:pt idx="0">
                  <c:v>1</c:v>
                </c:pt>
                <c:pt idx="1">
                  <c:v>2</c:v>
                </c:pt>
                <c:pt idx="2">
                  <c:v>3</c:v>
                </c:pt>
                <c:pt idx="3">
                  <c:v>1</c:v>
                </c:pt>
                <c:pt idx="4">
                  <c:v>2</c:v>
                </c:pt>
                <c:pt idx="5">
                  <c:v>3</c:v>
                </c:pt>
                <c:pt idx="6">
                  <c:v>1</c:v>
                </c:pt>
                <c:pt idx="7">
                  <c:v>2</c:v>
                </c:pt>
                <c:pt idx="8">
                  <c:v>3</c:v>
                </c:pt>
                <c:pt idx="9">
                  <c:v>4</c:v>
                </c:pt>
                <c:pt idx="10">
                  <c:v>1</c:v>
                </c:pt>
                <c:pt idx="11">
                  <c:v>2</c:v>
                </c:pt>
                <c:pt idx="12">
                  <c:v>3</c:v>
                </c:pt>
                <c:pt idx="13">
                  <c:v>5</c:v>
                </c:pt>
                <c:pt idx="14">
                  <c:v>2</c:v>
                </c:pt>
                <c:pt idx="15">
                  <c:v>3</c:v>
                </c:pt>
                <c:pt idx="16">
                  <c:v>4</c:v>
                </c:pt>
              </c:numCache>
            </c:numRef>
          </c:yVal>
          <c:bubbleSize>
            <c:numRef>
              <c:f>Sheet3!$C$14:$C$30</c:f>
              <c:numCache>
                <c:formatCode>General</c:formatCode>
                <c:ptCount val="17"/>
                <c:pt idx="0">
                  <c:v>6</c:v>
                </c:pt>
                <c:pt idx="1">
                  <c:v>3</c:v>
                </c:pt>
                <c:pt idx="2">
                  <c:v>4</c:v>
                </c:pt>
                <c:pt idx="3">
                  <c:v>1</c:v>
                </c:pt>
                <c:pt idx="4">
                  <c:v>9</c:v>
                </c:pt>
                <c:pt idx="5">
                  <c:v>1</c:v>
                </c:pt>
                <c:pt idx="6">
                  <c:v>4</c:v>
                </c:pt>
                <c:pt idx="7">
                  <c:v>3</c:v>
                </c:pt>
                <c:pt idx="8">
                  <c:v>3</c:v>
                </c:pt>
                <c:pt idx="9">
                  <c:v>2</c:v>
                </c:pt>
                <c:pt idx="10">
                  <c:v>3</c:v>
                </c:pt>
                <c:pt idx="11">
                  <c:v>4</c:v>
                </c:pt>
                <c:pt idx="12">
                  <c:v>4</c:v>
                </c:pt>
                <c:pt idx="13">
                  <c:v>1</c:v>
                </c:pt>
                <c:pt idx="14">
                  <c:v>1</c:v>
                </c:pt>
                <c:pt idx="15">
                  <c:v>1</c:v>
                </c:pt>
                <c:pt idx="16">
                  <c:v>1</c:v>
                </c:pt>
              </c:numCache>
            </c:numRef>
          </c:bubbleSize>
          <c:bubble3D val="0"/>
          <c:extLst>
            <c:ext xmlns:c15="http://schemas.microsoft.com/office/drawing/2012/chart" uri="{02D57815-91ED-43cb-92C2-25804820EDAC}">
              <c15:datalabelsRange>
                <c15:f>Sheet3!$C$14:$C$30</c15:f>
                <c15:dlblRangeCache>
                  <c:ptCount val="17"/>
                  <c:pt idx="0">
                    <c:v>6</c:v>
                  </c:pt>
                  <c:pt idx="1">
                    <c:v>3</c:v>
                  </c:pt>
                  <c:pt idx="2">
                    <c:v>4</c:v>
                  </c:pt>
                  <c:pt idx="3">
                    <c:v>1</c:v>
                  </c:pt>
                  <c:pt idx="4">
                    <c:v>9</c:v>
                  </c:pt>
                  <c:pt idx="5">
                    <c:v>1</c:v>
                  </c:pt>
                  <c:pt idx="6">
                    <c:v>4</c:v>
                  </c:pt>
                  <c:pt idx="7">
                    <c:v>3</c:v>
                  </c:pt>
                  <c:pt idx="8">
                    <c:v>3</c:v>
                  </c:pt>
                  <c:pt idx="9">
                    <c:v>2</c:v>
                  </c:pt>
                  <c:pt idx="10">
                    <c:v>3</c:v>
                  </c:pt>
                  <c:pt idx="11">
                    <c:v>4</c:v>
                  </c:pt>
                  <c:pt idx="12">
                    <c:v>4</c:v>
                  </c:pt>
                  <c:pt idx="13">
                    <c:v>1</c:v>
                  </c:pt>
                  <c:pt idx="14">
                    <c:v>1</c:v>
                  </c:pt>
                  <c:pt idx="15">
                    <c:v>1</c:v>
                  </c:pt>
                  <c:pt idx="16">
                    <c:v>1</c:v>
                  </c:pt>
                </c15:dlblRangeCache>
              </c15:datalabelsRange>
            </c:ext>
            <c:ext xmlns:c16="http://schemas.microsoft.com/office/drawing/2014/chart" uri="{C3380CC4-5D6E-409C-BE32-E72D297353CC}">
              <c16:uniqueId val="{00000001-10C9-42EA-A8A3-6FAA93E925AD}"/>
            </c:ext>
          </c:extLst>
        </c:ser>
        <c:dLbls>
          <c:dLblPos val="ctr"/>
          <c:showLegendKey val="0"/>
          <c:showVal val="1"/>
          <c:showCatName val="0"/>
          <c:showSerName val="0"/>
          <c:showPercent val="0"/>
          <c:showBubbleSize val="0"/>
        </c:dLbls>
        <c:bubbleScale val="80"/>
        <c:showNegBubbles val="0"/>
        <c:axId val="840592287"/>
        <c:axId val="840584607"/>
      </c:bubbleChart>
      <c:valAx>
        <c:axId val="840592287"/>
        <c:scaling>
          <c:orientation val="minMax"/>
          <c:max val="6.5"/>
          <c:min val="0.5"/>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40584607"/>
        <c:crosses val="autoZero"/>
        <c:crossBetween val="midCat"/>
      </c:valAx>
      <c:valAx>
        <c:axId val="840584607"/>
        <c:scaling>
          <c:orientation val="maxMin"/>
          <c:max val="5.5"/>
          <c:min val="0.5"/>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40592287"/>
        <c:crosses val="autoZero"/>
        <c:crossBetween val="midCat"/>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percentStacked"/>
        <c:varyColors val="0"/>
        <c:ser>
          <c:idx val="0"/>
          <c:order val="0"/>
          <c:tx>
            <c:v>INL - Individual assignment</c:v>
          </c:tx>
          <c:spPr>
            <a:solidFill>
              <a:schemeClr val="accent1"/>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4</c:v>
              </c:pt>
              <c:pt idx="1">
                <c:v>3</c:v>
              </c:pt>
              <c:pt idx="2">
                <c:v>2</c:v>
              </c:pt>
              <c:pt idx="3">
                <c:v>1</c:v>
              </c:pt>
              <c:pt idx="4">
                <c:v>3</c:v>
              </c:pt>
            </c:numLit>
          </c:val>
          <c:extLst>
            <c:ext xmlns:c16="http://schemas.microsoft.com/office/drawing/2014/chart" uri="{C3380CC4-5D6E-409C-BE32-E72D297353CC}">
              <c16:uniqueId val="{00000012-480C-42D0-AB86-523F021E75B1}"/>
            </c:ext>
          </c:extLst>
        </c:ser>
        <c:ser>
          <c:idx val="1"/>
          <c:order val="1"/>
          <c:tx>
            <c:v>LAB - Laboratory work</c:v>
          </c:tx>
          <c:spPr>
            <a:solidFill>
              <a:schemeClr val="accent2"/>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8</c:v>
              </c:pt>
              <c:pt idx="1">
                <c:v>1</c:v>
              </c:pt>
              <c:pt idx="2">
                <c:v>1</c:v>
              </c:pt>
              <c:pt idx="3">
                <c:v>1</c:v>
              </c:pt>
              <c:pt idx="4">
                <c:v>0</c:v>
              </c:pt>
            </c:numLit>
          </c:val>
          <c:extLst>
            <c:ext xmlns:c16="http://schemas.microsoft.com/office/drawing/2014/chart" uri="{C3380CC4-5D6E-409C-BE32-E72D297353CC}">
              <c16:uniqueId val="{00000014-480C-42D0-AB86-523F021E75B1}"/>
            </c:ext>
          </c:extLst>
        </c:ser>
        <c:ser>
          <c:idx val="2"/>
          <c:order val="2"/>
          <c:tx>
            <c:v>MIXED</c:v>
          </c:tx>
          <c:spPr>
            <a:solidFill>
              <a:schemeClr val="accent3"/>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5</c:v>
              </c:pt>
              <c:pt idx="1">
                <c:v>2</c:v>
              </c:pt>
              <c:pt idx="2">
                <c:v>3</c:v>
              </c:pt>
              <c:pt idx="3">
                <c:v>1</c:v>
              </c:pt>
              <c:pt idx="4">
                <c:v>1</c:v>
              </c:pt>
            </c:numLit>
          </c:val>
          <c:extLst>
            <c:ext xmlns:c16="http://schemas.microsoft.com/office/drawing/2014/chart" uri="{C3380CC4-5D6E-409C-BE32-E72D297353CC}">
              <c16:uniqueId val="{00000016-480C-42D0-AB86-523F021E75B1}"/>
            </c:ext>
          </c:extLst>
        </c:ser>
        <c:ser>
          <c:idx val="3"/>
          <c:order val="3"/>
          <c:tx>
            <c:v>Other</c:v>
          </c:tx>
          <c:spPr>
            <a:solidFill>
              <a:schemeClr val="accent4"/>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1</c:v>
              </c:pt>
              <c:pt idx="1">
                <c:v>1</c:v>
              </c:pt>
              <c:pt idx="2">
                <c:v>0</c:v>
              </c:pt>
              <c:pt idx="3">
                <c:v>0</c:v>
              </c:pt>
              <c:pt idx="4">
                <c:v>0</c:v>
              </c:pt>
            </c:numLit>
          </c:val>
          <c:extLst>
            <c:ext xmlns:c16="http://schemas.microsoft.com/office/drawing/2014/chart" uri="{C3380CC4-5D6E-409C-BE32-E72D297353CC}">
              <c16:uniqueId val="{00000018-480C-42D0-AB86-523F021E75B1}"/>
            </c:ext>
          </c:extLst>
        </c:ser>
        <c:ser>
          <c:idx val="4"/>
          <c:order val="4"/>
          <c:tx>
            <c:v>PRO - Group project</c:v>
          </c:tx>
          <c:spPr>
            <a:solidFill>
              <a:schemeClr val="accent5"/>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4</c:v>
              </c:pt>
              <c:pt idx="1">
                <c:v>0</c:v>
              </c:pt>
              <c:pt idx="2">
                <c:v>2</c:v>
              </c:pt>
              <c:pt idx="3">
                <c:v>0</c:v>
              </c:pt>
              <c:pt idx="4">
                <c:v>6</c:v>
              </c:pt>
            </c:numLit>
          </c:val>
          <c:extLst>
            <c:ext xmlns:c16="http://schemas.microsoft.com/office/drawing/2014/chart" uri="{C3380CC4-5D6E-409C-BE32-E72D297353CC}">
              <c16:uniqueId val="{0000001A-480C-42D0-AB86-523F021E75B1}"/>
            </c:ext>
          </c:extLst>
        </c:ser>
        <c:ser>
          <c:idx val="5"/>
          <c:order val="5"/>
          <c:tx>
            <c:v>SEM - Seminar preparation</c:v>
          </c:tx>
          <c:spPr>
            <a:solidFill>
              <a:schemeClr val="accent1"/>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1</c:v>
              </c:pt>
              <c:pt idx="1">
                <c:v>0</c:v>
              </c:pt>
              <c:pt idx="2">
                <c:v>0</c:v>
              </c:pt>
              <c:pt idx="3">
                <c:v>0</c:v>
              </c:pt>
              <c:pt idx="4">
                <c:v>0</c:v>
              </c:pt>
            </c:numLit>
          </c:val>
          <c:extLst>
            <c:ext xmlns:c16="http://schemas.microsoft.com/office/drawing/2014/chart" uri="{C3380CC4-5D6E-409C-BE32-E72D297353CC}">
              <c16:uniqueId val="{0000001B-480C-42D0-AB86-523F021E75B1}"/>
            </c:ext>
          </c:extLst>
        </c:ser>
        <c:dLbls>
          <c:showLegendKey val="0"/>
          <c:showVal val="0"/>
          <c:showCatName val="0"/>
          <c:showSerName val="0"/>
          <c:showPercent val="0"/>
          <c:showBubbleSize val="0"/>
        </c:dLbls>
        <c:gapWidth val="150"/>
        <c:overlap val="100"/>
        <c:axId val="1675515808"/>
        <c:axId val="1675517728"/>
      </c:barChart>
      <c:catAx>
        <c:axId val="167551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17728"/>
        <c:crosses val="autoZero"/>
        <c:auto val="1"/>
        <c:lblAlgn val="ctr"/>
        <c:lblOffset val="100"/>
        <c:noMultiLvlLbl val="0"/>
      </c:catAx>
      <c:valAx>
        <c:axId val="1675517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1580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v>Academic Integrity</c:v>
          </c:tx>
          <c:spPr>
            <a:solidFill>
              <a:schemeClr val="accent1"/>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1</c:v>
              </c:pt>
              <c:pt idx="1">
                <c:v>0</c:v>
              </c:pt>
              <c:pt idx="2">
                <c:v>0</c:v>
              </c:pt>
              <c:pt idx="3">
                <c:v>0</c:v>
              </c:pt>
              <c:pt idx="4">
                <c:v>0</c:v>
              </c:pt>
            </c:numLit>
          </c:val>
          <c:extLst>
            <c:ext xmlns:c16="http://schemas.microsoft.com/office/drawing/2014/chart" uri="{C3380CC4-5D6E-409C-BE32-E72D297353CC}">
              <c16:uniqueId val="{00000000-82E0-49E6-A5D7-4683DC4769D7}"/>
            </c:ext>
          </c:extLst>
        </c:ser>
        <c:ser>
          <c:idx val="1"/>
          <c:order val="1"/>
          <c:tx>
            <c:v>Collaboration &amp; Workflow</c:v>
          </c:tx>
          <c:spPr>
            <a:solidFill>
              <a:schemeClr val="accent2"/>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1</c:v>
              </c:pt>
              <c:pt idx="1">
                <c:v>0</c:v>
              </c:pt>
              <c:pt idx="2">
                <c:v>0</c:v>
              </c:pt>
              <c:pt idx="3">
                <c:v>0</c:v>
              </c:pt>
              <c:pt idx="4">
                <c:v>2</c:v>
              </c:pt>
            </c:numLit>
          </c:val>
          <c:extLst>
            <c:ext xmlns:c16="http://schemas.microsoft.com/office/drawing/2014/chart" uri="{C3380CC4-5D6E-409C-BE32-E72D297353CC}">
              <c16:uniqueId val="{00000001-82E0-49E6-A5D7-4683DC4769D7}"/>
            </c:ext>
          </c:extLst>
        </c:ser>
        <c:ser>
          <c:idx val="2"/>
          <c:order val="2"/>
          <c:tx>
            <c:v>Feedback &amp; Assessment Design</c:v>
          </c:tx>
          <c:spPr>
            <a:solidFill>
              <a:schemeClr val="accent3"/>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6</c:v>
              </c:pt>
              <c:pt idx="1">
                <c:v>3</c:v>
              </c:pt>
              <c:pt idx="2">
                <c:v>2</c:v>
              </c:pt>
              <c:pt idx="3">
                <c:v>0</c:v>
              </c:pt>
              <c:pt idx="4">
                <c:v>2</c:v>
              </c:pt>
            </c:numLit>
          </c:val>
          <c:extLst>
            <c:ext xmlns:c16="http://schemas.microsoft.com/office/drawing/2014/chart" uri="{C3380CC4-5D6E-409C-BE32-E72D297353CC}">
              <c16:uniqueId val="{00000002-82E0-49E6-A5D7-4683DC4769D7}"/>
            </c:ext>
          </c:extLst>
        </c:ser>
        <c:ser>
          <c:idx val="3"/>
          <c:order val="3"/>
          <c:tx>
            <c:v>Overreliance &amp; Skill Loss</c:v>
          </c:tx>
          <c:spPr>
            <a:solidFill>
              <a:schemeClr val="accent4"/>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10</c:v>
              </c:pt>
              <c:pt idx="1">
                <c:v>2</c:v>
              </c:pt>
              <c:pt idx="2">
                <c:v>4</c:v>
              </c:pt>
              <c:pt idx="3">
                <c:v>3</c:v>
              </c:pt>
              <c:pt idx="4">
                <c:v>1</c:v>
              </c:pt>
            </c:numLit>
          </c:val>
          <c:extLst>
            <c:ext xmlns:c16="http://schemas.microsoft.com/office/drawing/2014/chart" uri="{C3380CC4-5D6E-409C-BE32-E72D297353CC}">
              <c16:uniqueId val="{00000003-82E0-49E6-A5D7-4683DC4769D7}"/>
            </c:ext>
          </c:extLst>
        </c:ser>
        <c:ser>
          <c:idx val="4"/>
          <c:order val="4"/>
          <c:tx>
            <c:v>Performance &amp; Productivity</c:v>
          </c:tx>
          <c:spPr>
            <a:solidFill>
              <a:schemeClr val="accent5"/>
            </a:solidFill>
            <a:ln>
              <a:noFill/>
            </a:ln>
            <a:effectLst/>
          </c:spPr>
          <c:invertIfNegative val="0"/>
          <c:cat>
            <c:strLit>
              <c:ptCount val="5"/>
              <c:pt idx="0">
                <c:v>ChatGPT only</c:v>
              </c:pt>
              <c:pt idx="1">
                <c:v>Custom / Specialized tool</c:v>
              </c:pt>
              <c:pt idx="2">
                <c:v>Generic LLM / Unspecified</c:v>
              </c:pt>
              <c:pt idx="3">
                <c:v>GitHub Copilot only</c:v>
              </c:pt>
              <c:pt idx="4">
                <c:v>Multiple tools</c:v>
              </c:pt>
            </c:strLit>
          </c:cat>
          <c:val>
            <c:numLit>
              <c:formatCode>General</c:formatCode>
              <c:ptCount val="5"/>
              <c:pt idx="0">
                <c:v>5</c:v>
              </c:pt>
              <c:pt idx="1">
                <c:v>2</c:v>
              </c:pt>
              <c:pt idx="2">
                <c:v>2</c:v>
              </c:pt>
              <c:pt idx="3">
                <c:v>0</c:v>
              </c:pt>
              <c:pt idx="4">
                <c:v>5</c:v>
              </c:pt>
            </c:numLit>
          </c:val>
          <c:extLst>
            <c:ext xmlns:c16="http://schemas.microsoft.com/office/drawing/2014/chart" uri="{C3380CC4-5D6E-409C-BE32-E72D297353CC}">
              <c16:uniqueId val="{00000004-82E0-49E6-A5D7-4683DC4769D7}"/>
            </c:ext>
          </c:extLst>
        </c:ser>
        <c:dLbls>
          <c:showLegendKey val="0"/>
          <c:showVal val="0"/>
          <c:showCatName val="0"/>
          <c:showSerName val="0"/>
          <c:showPercent val="0"/>
          <c:showBubbleSize val="0"/>
        </c:dLbls>
        <c:gapWidth val="150"/>
        <c:overlap val="100"/>
        <c:axId val="1675515808"/>
        <c:axId val="1675517728"/>
      </c:barChart>
      <c:catAx>
        <c:axId val="167551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17728"/>
        <c:crosses val="autoZero"/>
        <c:auto val="1"/>
        <c:lblAlgn val="ctr"/>
        <c:lblOffset val="100"/>
        <c:noMultiLvlLbl val="0"/>
      </c:catAx>
      <c:valAx>
        <c:axId val="1675517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51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791309</xdr:colOff>
      <xdr:row>12</xdr:row>
      <xdr:rowOff>181706</xdr:rowOff>
    </xdr:from>
    <xdr:to>
      <xdr:col>11</xdr:col>
      <xdr:colOff>595924</xdr:colOff>
      <xdr:row>27</xdr:row>
      <xdr:rowOff>140676</xdr:rowOff>
    </xdr:to>
    <xdr:graphicFrame macro="">
      <xdr:nvGraphicFramePr>
        <xdr:cNvPr id="8" name="Chart 7">
          <a:extLst>
            <a:ext uri="{FF2B5EF4-FFF2-40B4-BE49-F238E27FC236}">
              <a16:creationId xmlns:a16="http://schemas.microsoft.com/office/drawing/2014/main" id="{DEE78CEB-D8C3-10FF-6197-E83C6C3B3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1045308</xdr:colOff>
      <xdr:row>28</xdr:row>
      <xdr:rowOff>1</xdr:rowOff>
    </xdr:from>
    <xdr:to>
      <xdr:col>12</xdr:col>
      <xdr:colOff>78154</xdr:colOff>
      <xdr:row>29</xdr:row>
      <xdr:rowOff>68386</xdr:rowOff>
    </xdr:to>
    <xdr:sp macro="" textlink="">
      <xdr:nvSpPr>
        <xdr:cNvPr id="10" name="TextBox 9">
          <a:extLst>
            <a:ext uri="{FF2B5EF4-FFF2-40B4-BE49-F238E27FC236}">
              <a16:creationId xmlns:a16="http://schemas.microsoft.com/office/drawing/2014/main" id="{E716EA2A-4C81-6214-3BC8-4CE4F9215BE9}"/>
            </a:ext>
          </a:extLst>
        </xdr:cNvPr>
        <xdr:cNvSpPr txBox="1"/>
      </xdr:nvSpPr>
      <xdr:spPr>
        <a:xfrm>
          <a:off x="11084854" y="5059053"/>
          <a:ext cx="4516104" cy="249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INL                   LAB                PRO </a:t>
          </a:r>
          <a:r>
            <a:rPr lang="en-US" baseline="0"/>
            <a:t> </a:t>
          </a:r>
          <a:r>
            <a:rPr lang="en-US"/>
            <a:t>               MIXED </a:t>
          </a:r>
          <a:r>
            <a:rPr lang="en-US" baseline="0"/>
            <a:t> </a:t>
          </a:r>
          <a:r>
            <a:rPr lang="en-US"/>
            <a:t>             SEM            </a:t>
          </a:r>
          <a:r>
            <a:rPr lang="en-US" baseline="0"/>
            <a:t>    </a:t>
          </a:r>
          <a:r>
            <a:rPr lang="en-US"/>
            <a:t>OTHER</a:t>
          </a:r>
          <a:endParaRPr lang="en-US" sz="1100"/>
        </a:p>
      </xdr:txBody>
    </xdr:sp>
    <xdr:clientData/>
  </xdr:twoCellAnchor>
  <xdr:oneCellAnchor>
    <xdr:from>
      <xdr:col>5</xdr:col>
      <xdr:colOff>1006230</xdr:colOff>
      <xdr:row>13</xdr:row>
      <xdr:rowOff>29308</xdr:rowOff>
    </xdr:from>
    <xdr:ext cx="1729154" cy="2588846"/>
    <xdr:sp macro="" textlink="">
      <xdr:nvSpPr>
        <xdr:cNvPr id="11" name="TextBox 10">
          <a:extLst>
            <a:ext uri="{FF2B5EF4-FFF2-40B4-BE49-F238E27FC236}">
              <a16:creationId xmlns:a16="http://schemas.microsoft.com/office/drawing/2014/main" id="{5DB0DB5B-5C3A-CF67-AC8A-73FED3A6F255}"/>
            </a:ext>
          </a:extLst>
        </xdr:cNvPr>
        <xdr:cNvSpPr txBox="1"/>
      </xdr:nvSpPr>
      <xdr:spPr>
        <a:xfrm>
          <a:off x="8880230" y="2442308"/>
          <a:ext cx="1729154" cy="25888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en-US"/>
        </a:p>
        <a:p>
          <a:r>
            <a:rPr lang="en-US"/>
            <a:t>Performance &amp; Productivity</a:t>
          </a:r>
        </a:p>
        <a:p>
          <a:endParaRPr lang="en-US"/>
        </a:p>
        <a:p>
          <a:endParaRPr lang="en-US"/>
        </a:p>
        <a:p>
          <a:r>
            <a:rPr lang="en-US"/>
            <a:t>Overreliance &amp; Skill Loss</a:t>
          </a:r>
          <a:br>
            <a:rPr lang="en-US"/>
          </a:br>
          <a:endParaRPr lang="en-US"/>
        </a:p>
        <a:p>
          <a:endParaRPr lang="en-US"/>
        </a:p>
        <a:p>
          <a:r>
            <a:rPr lang="en-US"/>
            <a:t>Feedback &amp; Assessment Design</a:t>
          </a:r>
          <a:br>
            <a:rPr lang="en-US"/>
          </a:br>
          <a:endParaRPr lang="en-US"/>
        </a:p>
        <a:p>
          <a:r>
            <a:rPr lang="en-US"/>
            <a:t>Collaboration &amp; Workflow</a:t>
          </a:r>
          <a:br>
            <a:rPr lang="en-US"/>
          </a:br>
          <a:endParaRPr lang="en-US"/>
        </a:p>
        <a:p>
          <a:endParaRPr lang="en-US"/>
        </a:p>
        <a:p>
          <a:r>
            <a:rPr lang="en-US"/>
            <a:t>Academic Integrity</a:t>
          </a:r>
          <a:endParaRPr lang="en-US" sz="1100"/>
        </a:p>
      </xdr:txBody>
    </xdr:sp>
    <xdr:clientData/>
  </xdr:oneCellAnchor>
  <xdr:twoCellAnchor>
    <xdr:from>
      <xdr:col>6</xdr:col>
      <xdr:colOff>967154</xdr:colOff>
      <xdr:row>10</xdr:row>
      <xdr:rowOff>117230</xdr:rowOff>
    </xdr:from>
    <xdr:to>
      <xdr:col>12</xdr:col>
      <xdr:colOff>0</xdr:colOff>
      <xdr:row>12</xdr:row>
      <xdr:rowOff>-1</xdr:rowOff>
    </xdr:to>
    <xdr:sp macro="" textlink="">
      <xdr:nvSpPr>
        <xdr:cNvPr id="2" name="TextBox 1">
          <a:extLst>
            <a:ext uri="{FF2B5EF4-FFF2-40B4-BE49-F238E27FC236}">
              <a16:creationId xmlns:a16="http://schemas.microsoft.com/office/drawing/2014/main" id="{C975661A-F7E4-4ABC-A880-E6947A1C4088}"/>
            </a:ext>
          </a:extLst>
        </xdr:cNvPr>
        <xdr:cNvSpPr txBox="1"/>
      </xdr:nvSpPr>
      <xdr:spPr>
        <a:xfrm>
          <a:off x="10922000" y="1973384"/>
          <a:ext cx="4503615"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Orthogonal Analysis of Examination Types and LLM-Related Finding Themes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28222</xdr:colOff>
      <xdr:row>2</xdr:row>
      <xdr:rowOff>174625</xdr:rowOff>
    </xdr:from>
    <xdr:to>
      <xdr:col>18</xdr:col>
      <xdr:colOff>596900</xdr:colOff>
      <xdr:row>19</xdr:row>
      <xdr:rowOff>165100</xdr:rowOff>
    </xdr:to>
    <xdr:graphicFrame macro="">
      <xdr:nvGraphicFramePr>
        <xdr:cNvPr id="2" name="Chart 1">
          <a:extLst>
            <a:ext uri="{FF2B5EF4-FFF2-40B4-BE49-F238E27FC236}">
              <a16:creationId xmlns:a16="http://schemas.microsoft.com/office/drawing/2014/main" id="{885744DA-6065-410F-AE5D-AC99929F5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14111</xdr:colOff>
      <xdr:row>24</xdr:row>
      <xdr:rowOff>1</xdr:rowOff>
    </xdr:from>
    <xdr:to>
      <xdr:col>18</xdr:col>
      <xdr:colOff>558800</xdr:colOff>
      <xdr:row>42</xdr:row>
      <xdr:rowOff>50800</xdr:rowOff>
    </xdr:to>
    <xdr:graphicFrame macro="">
      <xdr:nvGraphicFramePr>
        <xdr:cNvPr id="3" name="Chart 2">
          <a:extLst>
            <a:ext uri="{FF2B5EF4-FFF2-40B4-BE49-F238E27FC236}">
              <a16:creationId xmlns:a16="http://schemas.microsoft.com/office/drawing/2014/main" id="{F9033BBB-36B7-4ED2-A08F-CC37D69DE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571500</xdr:colOff>
      <xdr:row>1</xdr:row>
      <xdr:rowOff>15875</xdr:rowOff>
    </xdr:from>
    <xdr:ext cx="5016500" cy="342851"/>
    <xdr:sp macro="" textlink="">
      <xdr:nvSpPr>
        <xdr:cNvPr id="4" name="TextBox 3">
          <a:extLst>
            <a:ext uri="{FF2B5EF4-FFF2-40B4-BE49-F238E27FC236}">
              <a16:creationId xmlns:a16="http://schemas.microsoft.com/office/drawing/2014/main" id="{5B8B0736-5626-035C-5638-1C2B3A0E01AF}"/>
            </a:ext>
          </a:extLst>
        </xdr:cNvPr>
        <xdr:cNvSpPr txBox="1"/>
      </xdr:nvSpPr>
      <xdr:spPr>
        <a:xfrm>
          <a:off x="14827250" y="206375"/>
          <a:ext cx="5016500" cy="3428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t>Distribution of LLM Tool Usage Across Examination Types</a:t>
          </a:r>
        </a:p>
      </xdr:txBody>
    </xdr:sp>
    <xdr:clientData/>
  </xdr:oneCellAnchor>
  <xdr:oneCellAnchor>
    <xdr:from>
      <xdr:col>9</xdr:col>
      <xdr:colOff>565150</xdr:colOff>
      <xdr:row>22</xdr:row>
      <xdr:rowOff>88900</xdr:rowOff>
    </xdr:from>
    <xdr:ext cx="5016500" cy="342851"/>
    <xdr:sp macro="" textlink="">
      <xdr:nvSpPr>
        <xdr:cNvPr id="5" name="TextBox 4">
          <a:extLst>
            <a:ext uri="{FF2B5EF4-FFF2-40B4-BE49-F238E27FC236}">
              <a16:creationId xmlns:a16="http://schemas.microsoft.com/office/drawing/2014/main" id="{0C5B2923-86E5-44E4-A5F0-B0954B0307C1}"/>
            </a:ext>
          </a:extLst>
        </xdr:cNvPr>
        <xdr:cNvSpPr txBox="1"/>
      </xdr:nvSpPr>
      <xdr:spPr>
        <a:xfrm>
          <a:off x="14820900" y="4279900"/>
          <a:ext cx="5016500" cy="3428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t>Relationship Between LLM Tools and Finding Themes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4.734707291667" createdVersion="8" refreshedVersion="8" minRefreshableVersion="3" recordCount="51" xr:uid="{558D07AD-4FC9-461C-B53E-249F1555ABD4}">
  <cacheSource type="worksheet">
    <worksheetSource ref="A1:L52" sheet="Sheet1"/>
  </cacheSource>
  <cacheFields count="12">
    <cacheField name="ID" numFmtId="0">
      <sharedItems containsSemiMixedTypes="0" containsString="0" containsNumber="1" containsInteger="1" minValue="1" maxValue="788"/>
    </cacheField>
    <cacheField name="Source" numFmtId="0">
      <sharedItems/>
    </cacheField>
    <cacheField name="Title" numFmtId="0">
      <sharedItems/>
    </cacheField>
    <cacheField name="Authors" numFmtId="0">
      <sharedItems/>
    </cacheField>
    <cacheField name="Year" numFmtId="0">
      <sharedItems containsSemiMixedTypes="0" containsString="0" containsNumber="1" containsInteger="1" minValue="2023" maxValue="2026"/>
    </cacheField>
    <cacheField name="Venue" numFmtId="0">
      <sharedItems/>
    </cacheField>
    <cacheField name="Study_Type" numFmtId="0">
      <sharedItems/>
    </cacheField>
    <cacheField name="LLM_Tool" numFmtId="0">
      <sharedItems count="5">
        <s v="ChatGPT only"/>
        <s v="Generic LLM / Unspecified"/>
        <s v="GitHub Copilot only"/>
        <s v="Multiple tools"/>
        <s v="Custom / Specialized tool"/>
      </sharedItems>
    </cacheField>
    <cacheField name="Exam_Type" numFmtId="0">
      <sharedItems count="6">
        <s v="MIXED"/>
        <s v="LAB - Laboratory work"/>
        <s v="INL - Individual assignment"/>
        <s v="PRO - Group project"/>
        <s v="Other"/>
        <s v="SEM - Seminar preparation"/>
      </sharedItems>
    </cacheField>
    <cacheField name="Main_Finding (open coding)" numFmtId="0">
      <sharedItems longText="1"/>
    </cacheField>
    <cacheField name="Relevance" numFmtId="0">
      <sharedItems/>
    </cacheField>
    <cacheField name="Finding_Theme (axial coding)" numFmtId="0">
      <sharedItems count="5">
        <s v="Feedback &amp; Assessment Design"/>
        <s v="Performance &amp; Productivity"/>
        <s v="Overreliance &amp; Skill Loss"/>
        <s v="Collaboration &amp; Workflow"/>
        <s v="Academic Integrit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WoS"/>
    <s v="Computer Science Education in ChatGPT Era: Experiences from a Course Design Perspective"/>
    <s v="Ostojic, Dragana; Liu, Yu David; Mernik, Marjan"/>
    <n v="2024"/>
    <s v="MATHEMATICS"/>
    <s v="Experiment"/>
    <x v="0"/>
    <x v="0"/>
    <s v="ChatGPT did not significantly affect students’ performance in practical assignments, midterm exams, or final grades when assessment methods were adjusted (e.g., assignment defense, paper-based exams)."/>
    <s v="High"/>
    <x v="0"/>
  </r>
  <r>
    <n v="2"/>
    <s v="WoS"/>
    <s v="Students' Perceptions and Preferences of Generative Artificial Intelligence"/>
    <s v="Zhang, Zhengdong; Dong, Zihan; Shi, Yang; F"/>
    <n v="2024"/>
    <s v="THIRTY-EIGTH AAAI CONFERENCE ON ARTIFICIAL INTELLIGENCE, VOL 38 NO 21"/>
    <s v="Survey"/>
    <x v="0"/>
    <x v="1"/>
    <s v="Students perceived ChatGPT-generated feedback as largely aligning with formative feedback guidelines and preferred feedback that included their code due to its higher specificity, clarity, and corrective nature."/>
    <s v="Medium"/>
    <x v="0"/>
  </r>
  <r>
    <n v="3"/>
    <s v="WoS"/>
    <s v="ChatGPT in Computer Science Education: A Case Study on a Course"/>
    <s v="Lopez-Fernandez, Daniel; Vergaz, Ricardo"/>
    <n v="2025"/>
    <s v="APPLIED SCIENCES-BASEL"/>
    <s v="Mixed"/>
    <x v="0"/>
    <x v="0"/>
    <s v="ChatGPT usage was positively correlated with student performance in a practical exam, with higher-performing students using it more effectively, while prior knowledge significantly influenced successful use."/>
    <s v="High"/>
    <x v="1"/>
  </r>
  <r>
    <n v="4"/>
    <s v="IEEE"/>
    <s v="Students' Perspectives on AI Code Completion: Benefits and Challenges"/>
    <s v="Takeringsaksiri, Wannita; Warusavitarne, Cles"/>
    <n v="2024"/>
    <s v="2024 IEEE 48th Annual Computers, Software, and Applications Conference (COMPSAC)"/>
    <s v="Qualitative Study"/>
    <x v="1"/>
    <x v="2"/>
    <s v="AI code completion improves student productivity and acts as a coding tutor, but over-reliance leads to shallow understanding, reduced problem-solving skills, and concerns about assessment validity."/>
    <s v="Medium"/>
    <x v="2"/>
  </r>
  <r>
    <n v="5"/>
    <s v="IEEE"/>
    <s v="Evaluating the Impact of Assistive AI Tools on Learning Outcomes"/>
    <s v="Park, Seong Min; Ho, Marco; Lin, Michael Pin"/>
    <n v="2025"/>
    <s v="2025 IEEE Global Engineering Education Conference (EDUCON)"/>
    <s v="Experiment"/>
    <x v="2"/>
    <x v="0"/>
    <s v="GitHub Copilot improves productivity in routine coding tasks but performs poorly in complex low-level programming, while AI-free assessments reveal significant declines in student performance, indicating dependency that hinders independent problem-solving."/>
    <s v="High"/>
    <x v="2"/>
  </r>
  <r>
    <n v="6"/>
    <s v="Scopus"/>
    <s v="Using Generative AI to Create User Stories in the Software Engineering Classroom"/>
    <s v="Brockenbrough, Allan; Salinas, Dominic"/>
    <n v="2024"/>
    <s v="International Journal of Engineering Education"/>
    <s v="Experiment"/>
    <x v="0"/>
    <x v="2"/>
    <s v="AI-assisted students produced higher-quality user stories (≈17% improvement) and completed tasks faster (≈38%), but ChatGPT struggled with grouping related feedback and generating proper Definitions of Done, requiring students to critically review and revise AI outputs."/>
    <s v="Low-Medium"/>
    <x v="1"/>
  </r>
  <r>
    <n v="7"/>
    <s v="IEEE"/>
    <s v="Analysis of Student-LLM Interaction in a Software Engineering Named"/>
    <s v="Naman, Agrawal; Shariffdeen, Ridwan; Wang"/>
    <n v="2025"/>
    <s v="2025 IEEE/ACM International Workshop on Large Language Models for Code (LLM4Code)"/>
    <s v="Case study"/>
    <x v="1"/>
    <x v="3"/>
    <s v="Students primarily used LLMs for code generation and implementation tasks, with interaction patterns evolving over time as prompting skills improved. Conversational interaction with ChatGPT enabled iterative refinement, producing more concise and usable code, while AI-generated code often required human modification and could introduce unnecessary complexity."/>
    <s v="Medium "/>
    <x v="1"/>
  </r>
  <r>
    <n v="8"/>
    <s v="IEEE"/>
    <s v="Students' Perception of ChatGPT in Software Engineering: Lessons Learned"/>
    <s v="Baresi, Luciano; De Lucia, Andrea; Di Marco"/>
    <n v="2025"/>
    <s v="2025 IEEE/ACM 37th International Conference on Software Engineering Education and Training (CSEE&amp;T)"/>
    <s v="Mixed"/>
    <x v="0"/>
    <x v="3"/>
    <s v="Students perceive LLMs as most useful for low-level software development tasks such as coding, debugging, testing, and documentation, where they improve productivity and learning. However, LLMs are considered less effective for high-level tasks like requirements analysis, modeling, and architecture, mainly due to lack of contextual understanding and abstraction capabilities. Students also face challenges in prompt design, interaction, and adapting LLM outputs to their specific project context."/>
    <s v="High"/>
    <x v="2"/>
  </r>
  <r>
    <n v="9"/>
    <s v="IEEE"/>
    <s v="Insights from the Frontline: GenAI Utilization Among Software Engineers"/>
    <s v="Choudhuri, Rudrajit; Ramakrishnan, Ambaree"/>
    <n v="2025"/>
    <s v="2025 IEEE/ACM 37th International Conference on Software Engineering Education and Training (CSEE&amp;T)"/>
    <s v="Qualitative Study"/>
    <x v="3"/>
    <x v="3"/>
    <s v="Students use LLMs across different stages of software engineering learning and implementation, with benefits mainly in incremental learning and initial implementation (e.g., understanding concepts, generating code, and getting guidance). However, LLMs create significant challenges for beginners and advanced tasks, including difficulties in prompting, verifying outputs, aligning AI with context, and understanding underlying reasoning. These challenges lead to negative impacts on learning, task performance, confidence, and willingness to adopt LLMs."/>
    <s v="Medium "/>
    <x v="2"/>
  </r>
  <r>
    <n v="10"/>
    <s v="IEEE"/>
    <s v="Exploring the Integration of Generative AI Tools in Software Testing Education"/>
    <s v="Halder, Susmita; Pierce, Mary; Fernando Cap"/>
    <n v="2025"/>
    <s v="IEEE Access"/>
    <s v="Mixed"/>
    <x v="3"/>
    <x v="3"/>
    <s v="LLM tools significantly speed up the creation of testing artifacts and support learning, but cannot replace manual testing. Human oversight is required due to limitations such as missing features, hallucinations, and incomplete coverage."/>
    <s v="Very High"/>
    <x v="1"/>
  </r>
  <r>
    <n v="11"/>
    <s v="Scopus"/>
    <s v="Cultivating Software Quality Improvement in the Classroom"/>
    <s v="AlOmar, Eman Abdullah; Mkaouer, Mohamed"/>
    <n v="2024"/>
    <s v="2024 36th International Conference on Software Engineering Education and Training (CSEE&amp;T)"/>
    <s v="Mixed"/>
    <x v="0"/>
    <x v="2"/>
    <s v="ChatGPT helps students resolve software quality issues and improves debugging efficiency (85.9% found it useful), but struggles with complex design problems (e.g., God Class) due to context limitations, requiring critical evaluation and human oversight."/>
    <s v="High "/>
    <x v="1"/>
  </r>
  <r>
    <n v="12"/>
    <s v="IEEE"/>
    <s v="Enhancing User Story Generation in Agile Software Development"/>
    <s v="Ramasamy, Vijayalakshmi; Ramamoorthy, Su"/>
    <n v="2024"/>
    <s v="2024 IEEE Frontiers in Education Conference (FIE)"/>
    <s v="Experiment"/>
    <x v="0"/>
    <x v="3"/>
    <s v="AI and prompt engineering improve user story quality, completeness, and creativity, and enhance students’ problem-solving and real-world readiness, but effectiveness depends on prompt quality."/>
    <s v="Low-Medium"/>
    <x v="0"/>
  </r>
  <r>
    <n v="13"/>
    <s v="IEEE"/>
    <s v="Integrating Conversational Large Language Models into Student Learning"/>
    <s v="Liu, Yi"/>
    <n v="2024"/>
    <s v="2024 IEEE Frontiers in Education Conference (FIE)"/>
    <s v="Case study"/>
    <x v="0"/>
    <x v="2"/>
    <s v="ChatGPT improves student performance and supports problem understanding, modeling, and debugging, but is less effective for specialized tasks and requires critical thinking and proper prompt design."/>
    <s v="Medium"/>
    <x v="1"/>
  </r>
  <r>
    <n v="14"/>
    <s v="IEEE"/>
    <s v="Use of Generative Artificial Intelligence in the Education of Software Verification and Validation"/>
    <s v="Tuzmen, Ayca"/>
    <n v="2024"/>
    <s v="2024 IEEE Frontiers in Education Conference (FIE)"/>
    <s v="Mixed"/>
    <x v="3"/>
    <x v="2"/>
    <s v="GenAI helps students generate basic unit tests efficiently, but produces only partial coverage, frequently missing edge and corner cases, requiring students to critically evaluate and extend the tests using their own domain knowledge."/>
    <s v="High"/>
    <x v="1"/>
  </r>
  <r>
    <n v="15"/>
    <s v="ACM"/>
    <s v="LLMs Integration in Software Engineering Team Projects: Roles and Challenges"/>
    <s v="Kharrufa, Ahmed; Alghamdi, Sami; Aziz, Abee"/>
    <n v="2026"/>
    <s v="ACM Trans. Comput. Educ."/>
    <s v="Mixed"/>
    <x v="3"/>
    <x v="3"/>
    <s v="LLMs improve team productivity, confidence, and learning by acting as assistant, peer, and tutor. However, they can lead to over-reliance, hide students’ actual skills, and introduce poorly understood or low-quality code that negatively affects team collaboration."/>
    <s v="High"/>
    <x v="3"/>
  </r>
  <r>
    <n v="16"/>
    <s v="ACM"/>
    <s v="Learning without Limits: Analysing the Usage of Generative AI"/>
    <s v="Cliff, Lee; Petrovska, Olga"/>
    <n v="2025"/>
    <s v="Proceedings of the 9th Conference on Computing Education Practice"/>
    <s v="Mixed"/>
    <x v="1"/>
    <x v="2"/>
    <s v="Allowing GenAI in summative assignments leads to more ambitious, higher-quality projects and positive student perceptions, but raises concerns about academic integrity, citation practices, and potential reduced focus on core programming skills."/>
    <s v="High"/>
    <x v="0"/>
  </r>
  <r>
    <n v="17"/>
    <s v="ACM"/>
    <s v="A friend or a foe? Evaluating ChatGPT's Impact on Students' CS"/>
    <s v="Mahmoud, May; Asare, Eric; Sakr, Nourhan; F"/>
    <n v="2025"/>
    <s v="Proceedings of the 2025 29th International Conference on Evaluation and Assessment in Software Engineering Companion"/>
    <s v="Experiment"/>
    <x v="0"/>
    <x v="1"/>
    <s v="ChatGPT improves task completion speed and short-term performance, but leads to slightly worse performance in testing and retention phases, indicating potential negative effects on deeper learning and skill retention."/>
    <s v="High"/>
    <x v="2"/>
  </r>
  <r>
    <n v="18"/>
    <s v="ACM"/>
    <s v="An Exploration of How Generative AI Affects Workflow and Collaboration"/>
    <s v="Salomon, Marie; Chin, Kyle D.; Holmes, Reid"/>
    <n v="2025"/>
    <s v="Proceedings of the 2025 ACM SIGPLAN International Symposium on SPLASH-E"/>
    <s v="Mixed"/>
    <x v="3"/>
    <x v="3"/>
    <s v="GenAI significantly reshapes student workflows and collaboration by accelerating implementation and reducing time spent on design and requirements, while decreasing direct peer interaction as students increasingly rely on AI as their primary support tool."/>
    <s v="High"/>
    <x v="3"/>
  </r>
  <r>
    <n v="19"/>
    <s v="ACM"/>
    <s v="Generative AI in Student Software Development Projects: A User Study"/>
    <s v="Borghoff, Uwe M.; Minas, Mark; Schopp, Jan"/>
    <n v="2025"/>
    <s v="PROCEEDINGS OF THE 6TH EUROPEAN CONFERENCE ON SOFTWARE ENGINEERING EDUCATION, ECSEE 2025"/>
    <s v="Qualitative Study"/>
    <x v="3"/>
    <x v="3"/>
    <s v="Students widely adopt GenAI tools in software development projects, finding them especially useful for coding and documentation, but face significant limitations such as incorrect outputs, poor integration with existing code, and reduced effectiveness in design-related tasks."/>
    <s v="High"/>
    <x v="1"/>
  </r>
  <r>
    <n v="20"/>
    <s v="ACM"/>
    <s v="How Far Are We? The Triumphs and Trials of Generative AI in Education"/>
    <s v="Choudhuri, Rudrajit; Liu, Dylan; Steinacher"/>
    <n v="2024"/>
    <s v="Proceedings of the IEEE/ACM 46th International Conference on Software Engineering"/>
    <s v="Mixed"/>
    <x v="0"/>
    <x v="1"/>
    <s v="Using ChatGPT did not significantly improve students’ productivity or self-efficacy in software engineering tasks, but significantly increased frustration and introduced errors, uncertainty, and cognitive challenges due to issues such as hallucinations, incorrect guidance, and lack of transparency."/>
    <s v="High"/>
    <x v="2"/>
  </r>
  <r>
    <n v="21"/>
    <s v="ACM"/>
    <s v="Exploring Student Interactions with AI in Programming Training"/>
    <s v="Fenu, Gianni; Galici, Roberta; Marras, Mirko"/>
    <n v="2024"/>
    <s v="Adjunct Proceedings of the 32nd ACM Conference on User Modeling, Adaptation and Personalization"/>
    <s v="Mixed"/>
    <x v="0"/>
    <x v="1"/>
    <s v="Students exhibit diverse interaction patterns when using ChatGPT in programming tasks, with the majority (59%) adopting passive problem-solving by accepting AI-generated solutions without modification, while only a minority engage actively in debugging, optimization, or independent problem-solving."/>
    <s v="Medium–High"/>
    <x v="2"/>
  </r>
  <r>
    <n v="22"/>
    <s v="ACM"/>
    <s v="Eyes on the Code: Mapping Critical Thinking Through Eye-Tracking for Student-LLM Coding Interactions"/>
    <s v="Tahri Sqalli, Mohammed"/>
    <n v="2025"/>
    <s v="Proceedings of the 16th Biannual Conference of the Italian SIGCHI Chapter"/>
    <s v="Mixed"/>
    <x v="0"/>
    <x v="1"/>
    <s v="LLM use reduces students’ critical thinking effort, especially among novice programmers who rely on AI outputs and fail to detect errors, while experienced students engage more in evaluation and verification of AI-generated code"/>
    <s v="High"/>
    <x v="2"/>
  </r>
  <r>
    <n v="23"/>
    <s v="ACM"/>
    <s v="Understanding Help-Seeking Behavior of Students Using LLMs"/>
    <s v="Kumar, Harsh; Reza, Mohi; Thomas-Mitchell"/>
    <n v="2025"/>
    <s v="Proceedings of the 4th International Workshop on Data Systems Education: Bridging Education Practice with Education Research"/>
    <s v="Mixed"/>
    <x v="4"/>
    <x v="2"/>
    <s v="LLMs increase student engagement and reduce perceived mental effort compared to web search, but do not significantly improve performance outcomes."/>
    <s v="Medium–High"/>
    <x v="1"/>
  </r>
  <r>
    <n v="24"/>
    <s v="ACM"/>
    <s v="Teaching Refactoring to Improve Code Quality with ChatGPT"/>
    <s v="Menolli, Andrê; Strik, Bruno; Rodrigues, Lu"/>
    <n v="2024"/>
    <s v="Proceedings of the XXIII Brazilian Symposium on Software Quality"/>
    <s v="Mixed"/>
    <x v="0"/>
    <x v="3"/>
    <s v="ChatGPT supports learning of code refactoring and development of computational thinking skills, but requires critical evaluation and human validation due to inaccuracies and limitations."/>
    <s v="High"/>
    <x v="0"/>
  </r>
  <r>
    <n v="25"/>
    <s v="ACM"/>
    <s v="Supporting Self-Reflection at Scale with Large Language Models"/>
    <s v="Kumar, Harsh; Xiao, Ruiwei; Lawson, Benjami"/>
    <n v="2024"/>
    <s v="PROCEEDINGS OF THE ELEVENTH ACM CONFERENCE ON LEARNING@SCALE, L@S 2024"/>
    <s v="Mixed"/>
    <x v="4"/>
    <x v="2"/>
    <s v="LLM-guided self-reflection improves students’ self-confidence and engagement, but shows limited or non-significant improvements in exam performance compared to other reflection methods."/>
    <s v="Medium"/>
    <x v="0"/>
  </r>
  <r>
    <n v="26"/>
    <s v="ACM"/>
    <s v="Exploring the Use of Large Language Models in Requirements Engineering"/>
    <s v="Sampaio, Savio Sousa; Meireles, Maria Alcim"/>
    <n v="2024"/>
    <s v="Proceedings of the XXIII Brazilian Symposium on Software Quality"/>
    <s v="Mixed"/>
    <x v="0"/>
    <x v="3"/>
    <s v="ChatGPT can effectively support requirements elicitation by generating relevant and innovative requirements, but requires human supervision due to issues such as vagueness, errors, and misclassification of requirements."/>
    <s v="Medium"/>
    <x v="0"/>
  </r>
  <r>
    <n v="27"/>
    <s v="IEEE"/>
    <s v="Does ChatGPT Help With Introductory Programming? An Experience Report"/>
    <s v="Xue, Yuankai; Chen, Hanlin; Bai, Gina R.; Ta"/>
    <n v="2024"/>
    <s v="2024 IEEE/ACM 46th International Conference on Software Engineering: Software Engineering Education and Training (ICSE-SEET)"/>
    <s v="Experiment"/>
    <x v="0"/>
    <x v="0"/>
    <s v="Using ChatGPT does not significantly improve students’ learning performance in introductory programming tasks, while increasing reliance on AI and reducing the use of other learning resources."/>
    <s v="Medium"/>
    <x v="2"/>
  </r>
  <r>
    <n v="28"/>
    <s v="WoS"/>
    <s v="``Person is a person, a tool is a tool'' - ChatGPT's Role in Student Learning"/>
    <s v="Hyrynsalmi, Sonja M.; Tuape, Micheal; Knutas"/>
    <n v="2025"/>
    <s v="COMPANION PROCEEDINGS OF THE 33RD ACM INTERNATIONAL CONFERENCE ON THE FOUNDATIONS OF SOFTWARE ENGINEERING, FSE COMPANION 2025"/>
    <s v="Survey"/>
    <x v="0"/>
    <x v="4"/>
    <s v="Students increasingly use ChatGPT as their primary help-seeking tool due to its speed and accessibility, which reduces peer interaction, although students still recognize the importance of social learning and collaboration"/>
    <s v="Low"/>
    <x v="3"/>
  </r>
  <r>
    <n v="29"/>
    <s v="ACM"/>
    <s v="Integrating Natural Language Prompting Tasks in Introductory Programming"/>
    <s v="Kerslake, Chris; Denny, Paul; Smith David H."/>
    <n v="2024"/>
    <s v="Proceedings of the 2024 on ACM Virtual Global Computing Education Conference V. 1"/>
    <s v="Mixed"/>
    <x v="1"/>
    <x v="0"/>
    <s v="Natural language prompting tasks supported by LLMs engage a broader range of students and reduce performance differences between weaker and stronger students, but require new skills such as prompt design and code evaluation."/>
    <s v="Medium"/>
    <x v="0"/>
  </r>
  <r>
    <n v="30"/>
    <s v="ACM"/>
    <s v="An Empirical Study on How Large Language Models Impact Software Quality"/>
    <s v="Mezzaro, Simone; Gambi, Alessio; Fraser, Go"/>
    <n v="2024"/>
    <s v="PROCEEDINGS OF 2024 28TH INTERNATION CONFERENCE ON EVALUATION AND ASSESSMENT IN SOFTWARE ENGINEERING, EASE 2024"/>
    <s v="Experiment"/>
    <x v="4"/>
    <x v="1"/>
    <s v="Students using LLM assistance often showed worse performance, producing fewer and lower-quality tests due to over-reliance, blind trust in outputs, and inability to critically evaluate or correct generated solutions."/>
    <s v="Low"/>
    <x v="2"/>
  </r>
  <r>
    <n v="31"/>
    <s v="Scopus"/>
    <s v="Students' Use of GitHub Copilot for Working with Large Codebases"/>
    <s v="Shah, Anshul; Chernova, Anya; Tomson, Elen"/>
    <n v="2025"/>
    <s v="Proceedings of the 56th ACM Technical Symposium on Computer Science Education V. 1"/>
    <s v="Mixed"/>
    <x v="2"/>
    <x v="2"/>
    <s v="Students frequently use one-shot prompting with LLMs, attempting to generate complete solutions at once, which leads to cycles of debugging, regeneration, and inefficient workflows due to limitations in generated code."/>
    <s v="High"/>
    <x v="2"/>
  </r>
  <r>
    <n v="32"/>
    <s v="ACM"/>
    <s v="Quack the Code: A Computer Game Show Offers Learning Through LLMs"/>
    <s v="Kelly, Kathleen Marie; Wu, Bo; Liebe, Christin"/>
    <n v="2025"/>
    <s v="Proceedings of the 30th ACM Conference on Innovation and Technology in Computer Science Education V. 1"/>
    <s v="Qualitative Study"/>
    <x v="4"/>
    <x v="4"/>
    <s v="LLM-powered gamified learning tools increase student engagement and motivation, particularly around exam preparation, but their actual usage remains limited and dependent on usability and integration into coursework."/>
    <s v="Low"/>
    <x v="0"/>
  </r>
  <r>
    <n v="770"/>
    <s v="FORWARD SNOWBALLING"/>
    <s v="Evaluation of LLM Tools for Feedback Generation in a Course"/>
    <s v="Carlos Alerio-Hoyos &amp; Carlos Delgado Kloos"/>
    <n v="2024"/>
    <s v="Int J Artif Intell Educ"/>
    <s v="Experiment"/>
    <x v="3"/>
    <x v="2"/>
    <s v="LLMs show limited reliability in generating accurate feedback on programming assignments, achieving around 50% accuracy and frequently producing incorrect or overly cautious assessments compared to expert evaluations."/>
    <s v="Medium"/>
    <x v="0"/>
  </r>
  <r>
    <n v="771"/>
    <s v="FORWARD SNOWBALLING"/>
    <s v="ChatGPT in Programming Education: An Empirical Study on Its Impact"/>
    <s v="Petrova, Snezha Shotarova; Slavi Lyubomirov"/>
    <n v="2026"/>
    <s v="Educ.Sci. 2026"/>
    <s v="Mixed"/>
    <x v="0"/>
    <x v="0"/>
    <s v="ChatGPT improved coding efficiency and reduced task completion time but decreased creativity and increased reliance on generated solutions."/>
    <s v="High"/>
    <x v="2"/>
  </r>
  <r>
    <n v="772"/>
    <s v="FORWARD SNOWBALLING"/>
    <s v="The Effects of Github Copilot on Computing Students' Programming Skills"/>
    <s v="Md Istiak Hossain Shihab; Christopher Hundh"/>
    <n v="2025"/>
    <s v="Proceedings of the 2025 ACM Conference on International Computing Education Research V.1"/>
    <s v="Mixed"/>
    <x v="2"/>
    <x v="1"/>
    <s v="GitHub Copilot significantly improves students’ efficiency and task performance in programming tasks, but reduces manual coding effort and may lead to weaker understanding due to reliance on AI-generated solutions"/>
    <s v="High"/>
    <x v="2"/>
  </r>
  <r>
    <n v="773"/>
    <s v="FORWARD SNOWBALLING"/>
    <s v="Examining the Usage of Generative AI Models in Student Learning Activities"/>
    <s v="Rufeng Chen; Shuaishuai Jiang; Jiyun Shen"/>
    <n v="2025"/>
    <s v="2025 2nd IEEE/ACM International Conference on AI-powered Software (AIware)"/>
    <s v="Experiment"/>
    <x v="0"/>
    <x v="5"/>
    <s v="Using GenAI significantly improves task performance, especially for beginners, but does not consistently lead to knowledge gains, as students often rely on generated solutions without developing deeper understanding."/>
    <s v="High"/>
    <x v="2"/>
  </r>
  <r>
    <n v="774"/>
    <s v="FORWARD SNOWBALLING"/>
    <s v="On the Role and Impact of GenAI Tools in Software Engineering Education"/>
    <s v="Qiaolin Qin; Ronnie de Souza Santos; Rodrigo"/>
    <n v="2025"/>
    <s v="IEEE/ACM ICSE Software Engineering Education and Training (ICSE SEET 2026)"/>
    <s v="Survey"/>
    <x v="3"/>
    <x v="0"/>
    <s v="Students widely adopt GenAI tools for learning and coding tasks, reporting benefits such as improved understanding and productivity, but also facing challenges including lack of explanation, difficulty adapting outputs, and concerns about over-reliance and academic integrity."/>
    <s v="Medium"/>
    <x v="0"/>
  </r>
  <r>
    <n v="775"/>
    <s v="FORWARD SNOWBALLING"/>
    <s v="How Students Use Generative AI for Software Testing: An Observational Study"/>
    <s v="Baris Ardic; Quentin Le Dilavrec; Andy Zaidm"/>
    <n v="2025"/>
    <s v="Educ.Sci."/>
    <s v="Qualitative Study"/>
    <x v="0"/>
    <x v="1"/>
    <s v="Students use GenAI to speed up unit test creation and reduce cognitive effort, but often face issues with test quality, lack of trust, and reduced ownership, while different usage strategies do not significantly improve test effectiveness."/>
    <s v="High"/>
    <x v="2"/>
  </r>
  <r>
    <n v="776"/>
    <s v="FORWARD SNOWBALLING"/>
    <s v="LLMs Integration in Software Engineering Team Projects"/>
    <s v="Ahmed Kharrufa; Sami Alghamdi"/>
    <n v="2026"/>
    <s v="ACM Transactions on Computing Education, Volume 26"/>
    <s v="Mixed"/>
    <x v="3"/>
    <x v="3"/>
    <s v="GenAI tools improve productivity, support learning through scaffolding and idea generation, and enhance team confidence, but can also lead to overreliance, reduced skill development, and difficulties in understanding AI-generated code within team settings."/>
    <s v="Medium"/>
    <x v="1"/>
  </r>
  <r>
    <n v="777"/>
    <s v="FORWARD SNOWBALLING"/>
    <s v="Students' Perceptions of the Use of LLMs in Requirements Engineering"/>
    <s v="Sharon Guardado; Risha Parveen; Zheying Zh"/>
    <n v="2025"/>
    <s v="2025 IEEE 33rd International Requirements Engineering Conference (RE)"/>
    <s v="Survey"/>
    <x v="1"/>
    <x v="0"/>
    <s v="LLMs improve students’ understanding of requirements engineering concepts, increase engagement and productivity, and support tasks like elicitation and documentation, but raise concerns about academic integrity, overreliance, and reliability of AI-generated outputs."/>
    <s v="Medium"/>
    <x v="1"/>
  </r>
  <r>
    <n v="778"/>
    <s v="BACKWARD SNOWBALLING"/>
    <s v="Exploring the use of ChatGPT as a tool for learning and teaching"/>
    <s v="Basit Qureshi"/>
    <n v="2023"/>
    <s v="12th International Conference on Computer Supported Education"/>
    <s v="Mixed"/>
    <x v="0"/>
    <x v="1"/>
    <s v="Students using ChatGPT achieved higher scores and improved performance in programming assessment tasks, but the generated code often contained inaccuracies and inconsistencies, requiring additional debugging and limiting full correctness."/>
    <s v="Medium"/>
    <x v="1"/>
  </r>
  <r>
    <n v="779"/>
    <s v="BACKWARD SNOWBALLING"/>
    <s v="Augmented intelligence in programming learning: Examining student perceptions"/>
    <s v="Ramazan Yilmaz; Fatma Gökşen Yilmaz"/>
    <n v="2023"/>
    <s v="Computers and Education: Artificial Intelligence"/>
    <s v="Qualitative Study"/>
    <x v="0"/>
    <x v="1"/>
    <s v="Students perceive ChatGPT as a valuable support tool that provides fast answers, improves debugging and confidence, and enhances learning efficiency, but it may lead to overreliance, reduced independent thinking, and occasional incorrect or incomplete solutions."/>
    <s v="High"/>
    <x v="2"/>
  </r>
  <r>
    <n v="780"/>
    <s v="BACKWARD SNOWBALLING"/>
    <s v="Large Language Models (GPT) for automating feedback on programming"/>
    <s v="Maciej Pankiewicz; Ryan S. Baker"/>
    <n v="2023"/>
    <s v="ICCE 2023"/>
    <s v="Experiment"/>
    <x v="4"/>
    <x v="2"/>
    <s v="GPT-generated hints improved assignment success rates and reduced solving time, but students showed signs of overreliance on AI feedback."/>
    <s v="High"/>
    <x v="2"/>
  </r>
  <r>
    <n v="781"/>
    <s v="BACKWARD SNOWBALLING"/>
    <s v="Investigating the Impact of Code Generation Tools (ChatGPT &amp; Copilot)"/>
    <s v="Joella Schouwenaar"/>
    <n v="2024"/>
    <s v="17th International Conference on Computer Supported Education"/>
    <s v="Experiment"/>
    <x v="3"/>
    <x v="2"/>
    <s v="GPT-generated feedback improves students’ performance and efficiency in programming assignments by increasing successful submissions and reducing time to completion, but it can lead to reduced use of traditional feedback and temporary overreliance on AI assistance."/>
    <s v="High"/>
    <x v="1"/>
  </r>
  <r>
    <n v="782"/>
    <s v="BACKWARD SNOWBALLING"/>
    <s v="An Empirical Study on Usage and Perceptions of LLMs in a Software Engineering Course"/>
    <s v="Sachith S. Rasnayaka et al."/>
    <n v="2024"/>
    <s v="ICSE 2024"/>
    <s v="Mixed"/>
    <x v="1"/>
    <x v="3"/>
    <s v="LLMs improve students’ productivity and support early-stage software development tasks such as code generation and debugging, but require significant human intervention and do not lead to higher code quality or correctness compared to traditional approaches."/>
    <s v="Medium"/>
    <x v="2"/>
  </r>
  <r>
    <n v="783"/>
    <s v="BACKWARD SNOWBALLING"/>
    <s v="Evaluating the Effectiveness of LLMs in Introductory Computer Programming"/>
    <s v="Wenhan Lyu; Yimeng Wang; Tingting (Rachel)"/>
    <n v="2024"/>
    <s v="11th ACM Conference on Learning @ Scale"/>
    <s v="Mixed"/>
    <x v="4"/>
    <x v="0"/>
    <s v="The use of an LLM-based assistant significantly improves students’ academic performance, particularly in assignments where its use is allowed, but raises concerns about reduced critical thinking and increasing reliance on human support over time."/>
    <s v="High"/>
    <x v="1"/>
  </r>
  <r>
    <n v="784"/>
    <s v="BACKWARD SNOWBALLING"/>
    <s v="Insights from Social Shaping Theory: The Appropriation of Large Language Models"/>
    <s v="A. Padiyath; X. Hou et al."/>
    <n v="2024"/>
    <s v="ACM Conference on International Computing Education Research"/>
    <s v="Mixed"/>
    <x v="1"/>
    <x v="0"/>
    <s v="Students’ use of LLMs is strongly shaped by social factors such as peer behavior and career expectations, and early LLM use is associated with lower self-efficacy and slightly lower exam performance, particularly when it leads to over-reliance."/>
    <s v="High"/>
    <x v="2"/>
  </r>
  <r>
    <n v="785"/>
    <s v="BACKWARD SNOWBALLING"/>
    <s v="AI-Tutoring in Software Engineering Education"/>
    <s v="Eduard Frankford; Clemens Sauerwein; Patric"/>
    <n v="2024"/>
    <s v="Proceedings of the 46th International Conference on Software Engineering: Software Engineering Education and Training"/>
    <s v="Mixed"/>
    <x v="0"/>
    <x v="2"/>
    <s v="AI-tutors provide timely and scalable feedback that supports students during programming assignments, but their effectiveness is limited by generic responses, occasional inaccuracies, and concerns about over-reliance affecting learning."/>
    <s v="Medium"/>
    <x v="0"/>
  </r>
  <r>
    <n v="786"/>
    <s v="BACKWARD SNOWBALLING"/>
    <s v="Plagiarism in the Age of Generative AI: Cheating Method Chan"/>
    <s v="Binglin Chen; Colleen M. Lewis; Matthew Wes"/>
    <n v="2024"/>
    <s v="Proceedings of the Eleventh ACM Conference on Learning @ Scale"/>
    <s v="Empirical study"/>
    <x v="0"/>
    <x v="0"/>
    <s v="The introduction of generative AI (e.g., ChatGPT) led to a modest increase in plagiarism and a shift in cheating methods, while higher levels of plagiarism are strongly associated with significant learning loss, reflected in lower final exam performance."/>
    <s v="High"/>
    <x v="4"/>
  </r>
  <r>
    <n v="787"/>
    <s v="BACKWARD SNOWBALLING"/>
    <s v="Impact of Guidance and Interaction Strategies for LLM Use"/>
    <s v="Harsh Kumar; Ilya Musabirov; Mohi Reza; Jiak"/>
    <n v="2024"/>
    <s v="IEEE Transactions on Learning Technologies"/>
    <s v="Experiment"/>
    <x v="4"/>
    <x v="0"/>
    <s v="Guidance strategies influence how students interact with LLMs (reducing copy-paste and improving query quality), but do not significantly improve performance; while confidence increases after guidance, both trust and confidence decline after actual LLM use."/>
    <s v="Medium"/>
    <x v="0"/>
  </r>
  <r>
    <n v="788"/>
    <s v="BACKWARD SNOWBALLING"/>
    <s v="Quack the Code: A Computer Game Show Offers Learning Through LLMs"/>
    <s v="James Prather; Brent N Reeves; Juho Leinon"/>
    <n v="2024"/>
    <s v="Proceedings of the 2024 ACM Conference on International Computing Education Research - Volume 1"/>
    <s v="Qualitative Study"/>
    <x v="1"/>
    <x v="1"/>
    <s v="Generative AI creates a widening gap between students: stronger students use it to accelerate problem-solving effectively, while struggling students experience increased metacognitive difficulties, over-reliance, and an illusion of competence, often without real understanding."/>
    <s v="Mediu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125EA7-47CD-405B-91A7-E39BD946F8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H9" firstHeaderRow="1" firstDataRow="2" firstDataCol="1"/>
  <pivotFields count="12">
    <pivotField showAll="0"/>
    <pivotField showAll="0"/>
    <pivotField dataField="1" showAll="0"/>
    <pivotField showAll="0"/>
    <pivotField showAll="0"/>
    <pivotField showAll="0"/>
    <pivotField showAll="0"/>
    <pivotField axis="axisRow" showAll="0">
      <items count="6">
        <item x="0"/>
        <item x="4"/>
        <item x="1"/>
        <item x="2"/>
        <item x="3"/>
        <item t="default"/>
      </items>
    </pivotField>
    <pivotField axis="axisCol" showAll="0">
      <items count="7">
        <item x="2"/>
        <item x="1"/>
        <item x="0"/>
        <item x="4"/>
        <item x="3"/>
        <item x="5"/>
        <item t="default"/>
      </items>
    </pivotField>
    <pivotField showAll="0"/>
    <pivotField showAll="0"/>
    <pivotField showAll="0"/>
  </pivotFields>
  <rowFields count="1">
    <field x="7"/>
  </rowFields>
  <rowItems count="6">
    <i>
      <x/>
    </i>
    <i>
      <x v="1"/>
    </i>
    <i>
      <x v="2"/>
    </i>
    <i>
      <x v="3"/>
    </i>
    <i>
      <x v="4"/>
    </i>
    <i t="grand">
      <x/>
    </i>
  </rowItems>
  <colFields count="1">
    <field x="8"/>
  </colFields>
  <colItems count="7">
    <i>
      <x/>
    </i>
    <i>
      <x v="1"/>
    </i>
    <i>
      <x v="2"/>
    </i>
    <i>
      <x v="3"/>
    </i>
    <i>
      <x v="4"/>
    </i>
    <i>
      <x v="5"/>
    </i>
    <i t="grand">
      <x/>
    </i>
  </colItems>
  <dataFields count="1">
    <dataField name="Count of Title" fld="2" subtotal="count" baseField="0" baseItem="0"/>
  </dataFields>
  <formats count="11">
    <format dxfId="10">
      <pivotArea collapsedLevelsAreSubtotals="1" fieldPosition="0">
        <references count="1">
          <reference field="7" count="0"/>
        </references>
      </pivotArea>
    </format>
    <format dxfId="9">
      <pivotArea dataOnly="0" labelOnly="1" fieldPosition="0">
        <references count="1">
          <reference field="7" count="0"/>
        </references>
      </pivotArea>
    </format>
    <format dxfId="8">
      <pivotArea collapsedLevelsAreSubtotals="1" fieldPosition="0">
        <references count="2">
          <reference field="7" count="1">
            <x v="1"/>
          </reference>
          <reference field="8" count="1" selected="0">
            <x v="1"/>
          </reference>
        </references>
      </pivotArea>
    </format>
    <format dxfId="7">
      <pivotArea grandRow="1" outline="0" collapsedLevelsAreSubtotals="1" fieldPosition="0"/>
    </format>
    <format dxfId="6">
      <pivotArea dataOnly="0" labelOnly="1" grandRow="1" outline="0" fieldPosition="0"/>
    </format>
    <format dxfId="5">
      <pivotArea type="origin" dataOnly="0" labelOnly="1" outline="0" fieldPosition="0"/>
    </format>
    <format dxfId="4">
      <pivotArea field="8" type="button" dataOnly="0" labelOnly="1" outline="0" axis="axisCol" fieldPosition="0"/>
    </format>
    <format dxfId="3">
      <pivotArea type="topRight" dataOnly="0" labelOnly="1" outline="0" fieldPosition="0"/>
    </format>
    <format dxfId="2">
      <pivotArea field="7" type="button" dataOnly="0" labelOnly="1" outline="0" axis="axisRow" fieldPosition="0"/>
    </format>
    <format dxfId="1">
      <pivotArea dataOnly="0" labelOnly="1" fieldPosition="0">
        <references count="1">
          <reference field="8" count="0"/>
        </references>
      </pivotArea>
    </format>
    <format dxfId="0">
      <pivotArea dataOnly="0" labelOnly="1" grandCol="1" outline="0" fieldPosition="0"/>
    </format>
  </formats>
  <chartFormats count="6">
    <chartFormat chart="9" format="0" series="1">
      <pivotArea type="data" outline="0" fieldPosition="0">
        <references count="2">
          <reference field="4294967294" count="1" selected="0">
            <x v="0"/>
          </reference>
          <reference field="8" count="1" selected="0">
            <x v="0"/>
          </reference>
        </references>
      </pivotArea>
    </chartFormat>
    <chartFormat chart="9" format="1" series="1">
      <pivotArea type="data" outline="0" fieldPosition="0">
        <references count="2">
          <reference field="4294967294" count="1" selected="0">
            <x v="0"/>
          </reference>
          <reference field="8" count="1" selected="0">
            <x v="1"/>
          </reference>
        </references>
      </pivotArea>
    </chartFormat>
    <chartFormat chart="9" format="2" series="1">
      <pivotArea type="data" outline="0" fieldPosition="0">
        <references count="2">
          <reference field="4294967294" count="1" selected="0">
            <x v="0"/>
          </reference>
          <reference field="8" count="1" selected="0">
            <x v="2"/>
          </reference>
        </references>
      </pivotArea>
    </chartFormat>
    <chartFormat chart="9" format="3" series="1">
      <pivotArea type="data" outline="0" fieldPosition="0">
        <references count="2">
          <reference field="4294967294" count="1" selected="0">
            <x v="0"/>
          </reference>
          <reference field="8" count="1" selected="0">
            <x v="3"/>
          </reference>
        </references>
      </pivotArea>
    </chartFormat>
    <chartFormat chart="9" format="4" series="1">
      <pivotArea type="data" outline="0" fieldPosition="0">
        <references count="2">
          <reference field="4294967294" count="1" selected="0">
            <x v="0"/>
          </reference>
          <reference field="8" count="1" selected="0">
            <x v="4"/>
          </reference>
        </references>
      </pivotArea>
    </chartFormat>
    <chartFormat chart="9" format="5" series="1">
      <pivotArea type="data" outline="0" fieldPosition="0">
        <references count="2">
          <reference field="4294967294" count="1" selected="0">
            <x v="0"/>
          </reference>
          <reference field="8" count="1" selected="0">
            <x v="5"/>
          </reference>
        </references>
      </pivotArea>
    </chartFormat>
  </chart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6891C-CAFA-4E33-A043-FA070EBB63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G31" firstHeaderRow="1" firstDataRow="2" firstDataCol="1"/>
  <pivotFields count="12">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axis="axisRow" showAll="0" defaultSubtotal="0">
      <items count="5">
        <item x="0"/>
        <item x="4"/>
        <item x="1"/>
        <item x="2"/>
        <item x="3"/>
      </items>
    </pivotField>
    <pivotField showAll="0" defaultSubtotal="0"/>
    <pivotField showAll="0" defaultSubtotal="0"/>
    <pivotField showAll="0" defaultSubtotal="0"/>
    <pivotField axis="axisCol" showAll="0" defaultSubtotal="0">
      <items count="5">
        <item x="4"/>
        <item x="3"/>
        <item x="0"/>
        <item x="2"/>
        <item x="1"/>
      </items>
    </pivotField>
  </pivotFields>
  <rowFields count="1">
    <field x="7"/>
  </rowFields>
  <rowItems count="6">
    <i>
      <x/>
    </i>
    <i>
      <x v="1"/>
    </i>
    <i>
      <x v="2"/>
    </i>
    <i>
      <x v="3"/>
    </i>
    <i>
      <x v="4"/>
    </i>
    <i t="grand">
      <x/>
    </i>
  </rowItems>
  <colFields count="1">
    <field x="11"/>
  </colFields>
  <colItems count="6">
    <i>
      <x/>
    </i>
    <i>
      <x v="1"/>
    </i>
    <i>
      <x v="2"/>
    </i>
    <i>
      <x v="3"/>
    </i>
    <i>
      <x v="4"/>
    </i>
    <i t="grand">
      <x/>
    </i>
  </colItems>
  <dataFields count="1">
    <dataField name="Count of Title" fld="2" subtotal="count" baseField="0" baseItem="0"/>
  </dataFields>
  <formats count="8">
    <format dxfId="18">
      <pivotArea type="origin" dataOnly="0" labelOnly="1" outline="0" fieldPosition="0"/>
    </format>
    <format dxfId="17">
      <pivotArea field="11" type="button" dataOnly="0" labelOnly="1" outline="0" axis="axisCol" fieldPosition="0"/>
    </format>
    <format dxfId="16">
      <pivotArea type="topRight" dataOnly="0" labelOnly="1" outline="0" fieldPosition="0"/>
    </format>
    <format dxfId="15">
      <pivotArea field="7" type="button" dataOnly="0" labelOnly="1" outline="0" axis="axisRow" fieldPosition="0"/>
    </format>
    <format dxfId="14">
      <pivotArea dataOnly="0" labelOnly="1" fieldPosition="0">
        <references count="1">
          <reference field="11" count="0"/>
        </references>
      </pivotArea>
    </format>
    <format dxfId="13">
      <pivotArea dataOnly="0" labelOnly="1" grandCol="1" outline="0" fieldPosition="0"/>
    </format>
    <format dxfId="12">
      <pivotArea grandRow="1" outline="0" collapsedLevelsAreSubtotals="1" fieldPosition="0"/>
    </format>
    <format dxfId="11">
      <pivotArea dataOnly="0" labelOnly="1" grandRow="1" outline="0" fieldPosition="0"/>
    </format>
  </formats>
  <chartFormats count="5">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L@S%20'24:%20Proceedings%20of%20the%20Eleventh%20ACM%20Conference%20on%20Learning%20@%20Scal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8E077-F172-4955-80E6-722FC6A87F7D}">
  <dimension ref="A1:L52"/>
  <sheetViews>
    <sheetView zoomScale="63" zoomScaleNormal="55" workbookViewId="0">
      <selection activeCell="D55" sqref="D55"/>
    </sheetView>
  </sheetViews>
  <sheetFormatPr defaultRowHeight="14.4" x14ac:dyDescent="0.3"/>
  <cols>
    <col min="1" max="1" width="6.88671875" customWidth="1"/>
    <col min="2" max="2" width="8.44140625" customWidth="1"/>
    <col min="3" max="3" width="79" customWidth="1"/>
    <col min="4" max="4" width="23.5546875" customWidth="1"/>
    <col min="5" max="5" width="6.5546875" customWidth="1"/>
    <col min="6" max="6" width="25.21875" customWidth="1"/>
    <col min="7" max="7" width="12.5546875" customWidth="1"/>
    <col min="8" max="8" width="22.6640625" bestFit="1" customWidth="1"/>
    <col min="9" max="9" width="20.6640625" customWidth="1"/>
    <col min="10" max="10" width="146.33203125" customWidth="1"/>
    <col min="11" max="11" width="13.33203125" hidden="1" customWidth="1"/>
    <col min="12" max="12" width="40.44140625" customWidth="1"/>
    <col min="13" max="13" width="80" customWidth="1"/>
  </cols>
  <sheetData>
    <row r="1" spans="1:12" ht="15.6" x14ac:dyDescent="0.3">
      <c r="A1" s="1" t="s">
        <v>0</v>
      </c>
      <c r="B1" s="6" t="s">
        <v>62</v>
      </c>
      <c r="C1" s="6"/>
      <c r="D1" s="6" t="s">
        <v>1</v>
      </c>
      <c r="E1" s="1" t="s">
        <v>2</v>
      </c>
      <c r="F1" s="6" t="s">
        <v>159</v>
      </c>
      <c r="G1" s="1" t="s">
        <v>3</v>
      </c>
      <c r="H1" s="1" t="s">
        <v>4</v>
      </c>
      <c r="I1" s="1" t="s">
        <v>5</v>
      </c>
      <c r="J1" s="1" t="s">
        <v>199</v>
      </c>
      <c r="K1" s="1" t="s">
        <v>6</v>
      </c>
      <c r="L1" s="1" t="s">
        <v>200</v>
      </c>
    </row>
    <row r="2" spans="1:12" ht="16.8" customHeight="1" x14ac:dyDescent="0.3">
      <c r="A2" s="2">
        <v>1</v>
      </c>
      <c r="B2" s="3" t="s">
        <v>7</v>
      </c>
      <c r="C2" s="5" t="s">
        <v>13</v>
      </c>
      <c r="D2" t="s">
        <v>63</v>
      </c>
      <c r="E2" s="3">
        <v>2024</v>
      </c>
      <c r="F2" s="10" t="s">
        <v>113</v>
      </c>
      <c r="G2" t="s">
        <v>161</v>
      </c>
      <c r="H2" t="s">
        <v>179</v>
      </c>
      <c r="I2" t="s">
        <v>176</v>
      </c>
      <c r="J2" s="15" t="s">
        <v>201</v>
      </c>
      <c r="K2" t="s">
        <v>163</v>
      </c>
      <c r="L2" t="s">
        <v>193</v>
      </c>
    </row>
    <row r="3" spans="1:12" ht="15.6" customHeight="1" x14ac:dyDescent="0.3">
      <c r="A3">
        <v>2</v>
      </c>
      <c r="B3" s="3" t="s">
        <v>7</v>
      </c>
      <c r="C3" t="s">
        <v>14</v>
      </c>
      <c r="D3" t="s">
        <v>64</v>
      </c>
      <c r="E3" s="7">
        <v>2024</v>
      </c>
      <c r="F3" s="7" t="s">
        <v>114</v>
      </c>
      <c r="G3" t="s">
        <v>165</v>
      </c>
      <c r="H3" t="s">
        <v>179</v>
      </c>
      <c r="I3" t="s">
        <v>184</v>
      </c>
      <c r="J3" s="15" t="s">
        <v>202</v>
      </c>
      <c r="K3" t="s">
        <v>164</v>
      </c>
      <c r="L3" t="s">
        <v>193</v>
      </c>
    </row>
    <row r="4" spans="1:12" ht="13.2" customHeight="1" x14ac:dyDescent="0.3">
      <c r="A4" s="2">
        <v>3</v>
      </c>
      <c r="B4" s="3" t="s">
        <v>7</v>
      </c>
      <c r="C4" t="s">
        <v>15</v>
      </c>
      <c r="D4" t="s">
        <v>65</v>
      </c>
      <c r="E4" s="7">
        <v>2025</v>
      </c>
      <c r="F4" s="7" t="s">
        <v>115</v>
      </c>
      <c r="G4" t="s">
        <v>162</v>
      </c>
      <c r="H4" t="s">
        <v>179</v>
      </c>
      <c r="I4" t="s">
        <v>176</v>
      </c>
      <c r="J4" s="14" t="s">
        <v>203</v>
      </c>
      <c r="K4" t="s">
        <v>163</v>
      </c>
      <c r="L4" t="s">
        <v>194</v>
      </c>
    </row>
    <row r="5" spans="1:12" ht="15" customHeight="1" x14ac:dyDescent="0.3">
      <c r="A5">
        <v>4</v>
      </c>
      <c r="B5" s="3" t="s">
        <v>8</v>
      </c>
      <c r="C5" t="s">
        <v>16</v>
      </c>
      <c r="D5" t="s">
        <v>66</v>
      </c>
      <c r="E5" s="7">
        <v>2024</v>
      </c>
      <c r="F5" s="7" t="s">
        <v>116</v>
      </c>
      <c r="G5" t="s">
        <v>204</v>
      </c>
      <c r="H5" t="s">
        <v>180</v>
      </c>
      <c r="I5" t="s">
        <v>185</v>
      </c>
      <c r="J5" s="15" t="s">
        <v>205</v>
      </c>
      <c r="K5" t="s">
        <v>164</v>
      </c>
      <c r="L5" t="s">
        <v>195</v>
      </c>
    </row>
    <row r="6" spans="1:12" x14ac:dyDescent="0.3">
      <c r="A6" s="2">
        <v>5</v>
      </c>
      <c r="B6" s="3" t="s">
        <v>8</v>
      </c>
      <c r="C6" t="s">
        <v>17</v>
      </c>
      <c r="D6" t="s">
        <v>67</v>
      </c>
      <c r="E6" s="7">
        <v>2025</v>
      </c>
      <c r="F6" s="7" t="s">
        <v>117</v>
      </c>
      <c r="G6" t="s">
        <v>161</v>
      </c>
      <c r="H6" t="s">
        <v>181</v>
      </c>
      <c r="I6" t="s">
        <v>176</v>
      </c>
      <c r="J6" t="s">
        <v>206</v>
      </c>
      <c r="K6" t="s">
        <v>163</v>
      </c>
      <c r="L6" t="s">
        <v>195</v>
      </c>
    </row>
    <row r="7" spans="1:12" ht="14.4" customHeight="1" x14ac:dyDescent="0.3">
      <c r="A7">
        <v>6</v>
      </c>
      <c r="B7" s="3" t="s">
        <v>9</v>
      </c>
      <c r="C7" t="s">
        <v>18</v>
      </c>
      <c r="D7" t="s">
        <v>68</v>
      </c>
      <c r="E7" s="7">
        <v>2024</v>
      </c>
      <c r="F7" s="7" t="s">
        <v>118</v>
      </c>
      <c r="G7" t="s">
        <v>161</v>
      </c>
      <c r="H7" t="s">
        <v>179</v>
      </c>
      <c r="I7" t="s">
        <v>185</v>
      </c>
      <c r="J7" s="15" t="s">
        <v>207</v>
      </c>
      <c r="K7" t="s">
        <v>166</v>
      </c>
      <c r="L7" t="s">
        <v>194</v>
      </c>
    </row>
    <row r="8" spans="1:12" x14ac:dyDescent="0.3">
      <c r="A8" s="2">
        <v>7</v>
      </c>
      <c r="B8" s="3" t="s">
        <v>8</v>
      </c>
      <c r="C8" t="s">
        <v>19</v>
      </c>
      <c r="D8" t="s">
        <v>69</v>
      </c>
      <c r="E8" s="7">
        <v>2025</v>
      </c>
      <c r="F8" s="7" t="s">
        <v>119</v>
      </c>
      <c r="G8" t="s">
        <v>178</v>
      </c>
      <c r="H8" t="s">
        <v>180</v>
      </c>
      <c r="I8" t="s">
        <v>186</v>
      </c>
      <c r="J8" t="s">
        <v>208</v>
      </c>
      <c r="K8" t="s">
        <v>167</v>
      </c>
      <c r="L8" t="s">
        <v>194</v>
      </c>
    </row>
    <row r="9" spans="1:12" x14ac:dyDescent="0.3">
      <c r="A9">
        <v>8</v>
      </c>
      <c r="B9" s="3" t="s">
        <v>8</v>
      </c>
      <c r="C9" t="s">
        <v>20</v>
      </c>
      <c r="D9" t="s">
        <v>70</v>
      </c>
      <c r="E9" s="7">
        <v>2025</v>
      </c>
      <c r="F9" s="7" t="s">
        <v>120</v>
      </c>
      <c r="G9" t="s">
        <v>162</v>
      </c>
      <c r="H9" t="s">
        <v>179</v>
      </c>
      <c r="I9" t="s">
        <v>186</v>
      </c>
      <c r="J9" t="s">
        <v>209</v>
      </c>
      <c r="K9" t="s">
        <v>163</v>
      </c>
      <c r="L9" t="s">
        <v>195</v>
      </c>
    </row>
    <row r="10" spans="1:12" x14ac:dyDescent="0.3">
      <c r="A10" s="2">
        <v>9</v>
      </c>
      <c r="B10" s="3" t="s">
        <v>8</v>
      </c>
      <c r="C10" t="s">
        <v>21</v>
      </c>
      <c r="D10" t="s">
        <v>71</v>
      </c>
      <c r="E10">
        <v>2025</v>
      </c>
      <c r="F10" t="s">
        <v>120</v>
      </c>
      <c r="G10" t="s">
        <v>204</v>
      </c>
      <c r="H10" t="s">
        <v>182</v>
      </c>
      <c r="I10" t="s">
        <v>186</v>
      </c>
      <c r="J10" t="s">
        <v>210</v>
      </c>
      <c r="K10" t="s">
        <v>167</v>
      </c>
      <c r="L10" t="s">
        <v>195</v>
      </c>
    </row>
    <row r="11" spans="1:12" x14ac:dyDescent="0.3">
      <c r="A11">
        <v>10</v>
      </c>
      <c r="B11" s="3" t="s">
        <v>8</v>
      </c>
      <c r="C11" t="s">
        <v>22</v>
      </c>
      <c r="D11" t="s">
        <v>72</v>
      </c>
      <c r="E11" s="7">
        <v>2025</v>
      </c>
      <c r="F11" s="7" t="s">
        <v>121</v>
      </c>
      <c r="G11" t="s">
        <v>162</v>
      </c>
      <c r="H11" t="s">
        <v>182</v>
      </c>
      <c r="I11" t="s">
        <v>186</v>
      </c>
      <c r="J11" t="s">
        <v>211</v>
      </c>
      <c r="K11" t="s">
        <v>169</v>
      </c>
      <c r="L11" t="s">
        <v>194</v>
      </c>
    </row>
    <row r="12" spans="1:12" x14ac:dyDescent="0.3">
      <c r="A12" s="2">
        <v>11</v>
      </c>
      <c r="B12" s="3" t="s">
        <v>9</v>
      </c>
      <c r="C12" t="s">
        <v>23</v>
      </c>
      <c r="D12" t="s">
        <v>73</v>
      </c>
      <c r="E12" s="7">
        <v>2024</v>
      </c>
      <c r="F12" s="7" t="s">
        <v>122</v>
      </c>
      <c r="G12" t="s">
        <v>162</v>
      </c>
      <c r="H12" t="s">
        <v>179</v>
      </c>
      <c r="I12" t="s">
        <v>185</v>
      </c>
      <c r="J12" t="s">
        <v>212</v>
      </c>
      <c r="K12" t="s">
        <v>168</v>
      </c>
      <c r="L12" t="s">
        <v>194</v>
      </c>
    </row>
    <row r="13" spans="1:12" x14ac:dyDescent="0.3">
      <c r="A13">
        <v>12</v>
      </c>
      <c r="B13" s="3" t="s">
        <v>8</v>
      </c>
      <c r="C13" t="s">
        <v>24</v>
      </c>
      <c r="D13" t="s">
        <v>74</v>
      </c>
      <c r="E13" s="7">
        <v>2024</v>
      </c>
      <c r="F13" s="7" t="s">
        <v>123</v>
      </c>
      <c r="G13" t="s">
        <v>161</v>
      </c>
      <c r="H13" t="s">
        <v>179</v>
      </c>
      <c r="I13" t="s">
        <v>186</v>
      </c>
      <c r="J13" t="s">
        <v>213</v>
      </c>
      <c r="K13" t="s">
        <v>166</v>
      </c>
      <c r="L13" t="s">
        <v>193</v>
      </c>
    </row>
    <row r="14" spans="1:12" x14ac:dyDescent="0.3">
      <c r="A14" s="2">
        <v>13</v>
      </c>
      <c r="B14" s="3" t="s">
        <v>8</v>
      </c>
      <c r="C14" t="s">
        <v>25</v>
      </c>
      <c r="D14" t="s">
        <v>75</v>
      </c>
      <c r="E14" s="7">
        <v>2024</v>
      </c>
      <c r="F14" s="7" t="s">
        <v>123</v>
      </c>
      <c r="G14" t="s">
        <v>178</v>
      </c>
      <c r="H14" t="s">
        <v>179</v>
      </c>
      <c r="I14" t="s">
        <v>185</v>
      </c>
      <c r="J14" t="s">
        <v>214</v>
      </c>
      <c r="K14" t="s">
        <v>164</v>
      </c>
      <c r="L14" t="s">
        <v>194</v>
      </c>
    </row>
    <row r="15" spans="1:12" x14ac:dyDescent="0.3">
      <c r="A15">
        <v>14</v>
      </c>
      <c r="B15" s="3" t="s">
        <v>8</v>
      </c>
      <c r="C15" t="s">
        <v>250</v>
      </c>
      <c r="D15" t="s">
        <v>76</v>
      </c>
      <c r="E15">
        <v>2024</v>
      </c>
      <c r="F15" t="s">
        <v>123</v>
      </c>
      <c r="G15" t="s">
        <v>162</v>
      </c>
      <c r="H15" t="s">
        <v>182</v>
      </c>
      <c r="I15" t="s">
        <v>185</v>
      </c>
      <c r="J15" t="s">
        <v>251</v>
      </c>
      <c r="K15" t="s">
        <v>163</v>
      </c>
      <c r="L15" t="s">
        <v>194</v>
      </c>
    </row>
    <row r="16" spans="1:12" x14ac:dyDescent="0.3">
      <c r="A16" s="2">
        <v>15</v>
      </c>
      <c r="B16" s="3" t="s">
        <v>10</v>
      </c>
      <c r="C16" t="s">
        <v>26</v>
      </c>
      <c r="D16" t="s">
        <v>77</v>
      </c>
      <c r="E16" s="7">
        <v>2026</v>
      </c>
      <c r="F16" s="7" t="s">
        <v>124</v>
      </c>
      <c r="G16" t="s">
        <v>162</v>
      </c>
      <c r="H16" t="s">
        <v>182</v>
      </c>
      <c r="I16" t="s">
        <v>186</v>
      </c>
      <c r="J16" t="s">
        <v>215</v>
      </c>
      <c r="K16" t="s">
        <v>163</v>
      </c>
      <c r="L16" t="s">
        <v>197</v>
      </c>
    </row>
    <row r="17" spans="1:12" x14ac:dyDescent="0.3">
      <c r="A17">
        <v>16</v>
      </c>
      <c r="B17" s="3" t="s">
        <v>10</v>
      </c>
      <c r="C17" t="s">
        <v>27</v>
      </c>
      <c r="D17" t="s">
        <v>78</v>
      </c>
      <c r="E17" s="7">
        <v>2025</v>
      </c>
      <c r="F17" s="7" t="s">
        <v>125</v>
      </c>
      <c r="G17" t="s">
        <v>162</v>
      </c>
      <c r="H17" t="s">
        <v>180</v>
      </c>
      <c r="I17" t="s">
        <v>185</v>
      </c>
      <c r="J17" t="s">
        <v>216</v>
      </c>
      <c r="K17" t="s">
        <v>163</v>
      </c>
      <c r="L17" t="s">
        <v>193</v>
      </c>
    </row>
    <row r="18" spans="1:12" x14ac:dyDescent="0.3">
      <c r="A18" s="2">
        <v>17</v>
      </c>
      <c r="B18" s="3" t="s">
        <v>10</v>
      </c>
      <c r="C18" t="s">
        <v>28</v>
      </c>
      <c r="D18" t="s">
        <v>79</v>
      </c>
      <c r="E18" s="7">
        <v>2025</v>
      </c>
      <c r="F18" s="7" t="s">
        <v>126</v>
      </c>
      <c r="G18" t="s">
        <v>161</v>
      </c>
      <c r="H18" t="s">
        <v>179</v>
      </c>
      <c r="I18" t="s">
        <v>184</v>
      </c>
      <c r="J18" t="s">
        <v>217</v>
      </c>
      <c r="K18" t="s">
        <v>163</v>
      </c>
      <c r="L18" t="s">
        <v>195</v>
      </c>
    </row>
    <row r="19" spans="1:12" x14ac:dyDescent="0.3">
      <c r="A19">
        <v>18</v>
      </c>
      <c r="B19" s="3" t="s">
        <v>10</v>
      </c>
      <c r="C19" t="s">
        <v>29</v>
      </c>
      <c r="D19" t="s">
        <v>80</v>
      </c>
      <c r="E19" s="7">
        <v>2025</v>
      </c>
      <c r="F19" s="7" t="s">
        <v>127</v>
      </c>
      <c r="G19" t="s">
        <v>162</v>
      </c>
      <c r="H19" t="s">
        <v>182</v>
      </c>
      <c r="I19" t="s">
        <v>186</v>
      </c>
      <c r="J19" t="s">
        <v>218</v>
      </c>
      <c r="K19" t="s">
        <v>163</v>
      </c>
      <c r="L19" t="s">
        <v>197</v>
      </c>
    </row>
    <row r="20" spans="1:12" x14ac:dyDescent="0.3">
      <c r="A20" s="2">
        <v>19</v>
      </c>
      <c r="B20" s="3" t="s">
        <v>10</v>
      </c>
      <c r="C20" t="s">
        <v>30</v>
      </c>
      <c r="D20" t="s">
        <v>81</v>
      </c>
      <c r="E20" s="7">
        <v>2025</v>
      </c>
      <c r="F20" s="7" t="s">
        <v>128</v>
      </c>
      <c r="G20" t="s">
        <v>175</v>
      </c>
      <c r="H20" t="s">
        <v>182</v>
      </c>
      <c r="I20" t="s">
        <v>186</v>
      </c>
      <c r="J20" t="s">
        <v>219</v>
      </c>
      <c r="K20" t="s">
        <v>163</v>
      </c>
      <c r="L20" t="s">
        <v>194</v>
      </c>
    </row>
    <row r="21" spans="1:12" x14ac:dyDescent="0.3">
      <c r="A21">
        <v>20</v>
      </c>
      <c r="B21" s="3" t="s">
        <v>10</v>
      </c>
      <c r="C21" t="s">
        <v>31</v>
      </c>
      <c r="D21" t="s">
        <v>82</v>
      </c>
      <c r="E21" s="7">
        <v>2024</v>
      </c>
      <c r="F21" s="7" t="s">
        <v>129</v>
      </c>
      <c r="G21" t="s">
        <v>162</v>
      </c>
      <c r="H21" t="s">
        <v>179</v>
      </c>
      <c r="I21" t="s">
        <v>184</v>
      </c>
      <c r="J21" t="s">
        <v>220</v>
      </c>
      <c r="K21" t="s">
        <v>163</v>
      </c>
      <c r="L21" t="s">
        <v>195</v>
      </c>
    </row>
    <row r="22" spans="1:12" x14ac:dyDescent="0.3">
      <c r="A22" s="2">
        <v>21</v>
      </c>
      <c r="B22" s="3" t="s">
        <v>10</v>
      </c>
      <c r="C22" t="s">
        <v>32</v>
      </c>
      <c r="D22" t="s">
        <v>83</v>
      </c>
      <c r="E22" s="7">
        <v>2024</v>
      </c>
      <c r="F22" s="7" t="s">
        <v>130</v>
      </c>
      <c r="G22" t="s">
        <v>162</v>
      </c>
      <c r="H22" t="s">
        <v>179</v>
      </c>
      <c r="I22" t="s">
        <v>184</v>
      </c>
      <c r="J22" t="s">
        <v>221</v>
      </c>
      <c r="K22" t="s">
        <v>170</v>
      </c>
      <c r="L22" t="s">
        <v>195</v>
      </c>
    </row>
    <row r="23" spans="1:12" x14ac:dyDescent="0.3">
      <c r="A23">
        <v>22</v>
      </c>
      <c r="B23" s="3" t="s">
        <v>10</v>
      </c>
      <c r="C23" t="s">
        <v>33</v>
      </c>
      <c r="D23" t="s">
        <v>84</v>
      </c>
      <c r="E23" s="7">
        <v>2025</v>
      </c>
      <c r="F23" s="7" t="s">
        <v>131</v>
      </c>
      <c r="G23" t="s">
        <v>162</v>
      </c>
      <c r="H23" t="s">
        <v>179</v>
      </c>
      <c r="I23" t="s">
        <v>184</v>
      </c>
      <c r="J23" t="s">
        <v>222</v>
      </c>
      <c r="K23" t="s">
        <v>163</v>
      </c>
      <c r="L23" t="s">
        <v>195</v>
      </c>
    </row>
    <row r="24" spans="1:12" x14ac:dyDescent="0.3">
      <c r="A24" s="2">
        <v>23</v>
      </c>
      <c r="B24" s="3" t="s">
        <v>10</v>
      </c>
      <c r="C24" t="s">
        <v>34</v>
      </c>
      <c r="D24" t="s">
        <v>85</v>
      </c>
      <c r="E24" s="7">
        <v>2025</v>
      </c>
      <c r="F24" s="7" t="s">
        <v>132</v>
      </c>
      <c r="G24" t="s">
        <v>162</v>
      </c>
      <c r="H24" t="s">
        <v>183</v>
      </c>
      <c r="I24" t="s">
        <v>185</v>
      </c>
      <c r="J24" t="s">
        <v>223</v>
      </c>
      <c r="K24" t="s">
        <v>170</v>
      </c>
      <c r="L24" t="s">
        <v>194</v>
      </c>
    </row>
    <row r="25" spans="1:12" x14ac:dyDescent="0.3">
      <c r="A25">
        <v>24</v>
      </c>
      <c r="B25" s="3" t="s">
        <v>10</v>
      </c>
      <c r="C25" t="s">
        <v>35</v>
      </c>
      <c r="D25" t="s">
        <v>86</v>
      </c>
      <c r="E25" s="7">
        <v>2024</v>
      </c>
      <c r="F25" s="7" t="s">
        <v>133</v>
      </c>
      <c r="G25" t="s">
        <v>162</v>
      </c>
      <c r="H25" t="s">
        <v>179</v>
      </c>
      <c r="I25" t="s">
        <v>186</v>
      </c>
      <c r="J25" t="s">
        <v>224</v>
      </c>
      <c r="K25" t="s">
        <v>163</v>
      </c>
      <c r="L25" t="s">
        <v>193</v>
      </c>
    </row>
    <row r="26" spans="1:12" x14ac:dyDescent="0.3">
      <c r="A26" s="2">
        <v>25</v>
      </c>
      <c r="B26" s="3" t="s">
        <v>10</v>
      </c>
      <c r="C26" t="s">
        <v>36</v>
      </c>
      <c r="D26" t="s">
        <v>87</v>
      </c>
      <c r="E26" s="7">
        <v>2024</v>
      </c>
      <c r="F26" s="7" t="s">
        <v>134</v>
      </c>
      <c r="G26" t="s">
        <v>162</v>
      </c>
      <c r="H26" t="s">
        <v>183</v>
      </c>
      <c r="I26" t="s">
        <v>185</v>
      </c>
      <c r="J26" t="s">
        <v>225</v>
      </c>
      <c r="K26" t="s">
        <v>164</v>
      </c>
      <c r="L26" t="s">
        <v>193</v>
      </c>
    </row>
    <row r="27" spans="1:12" x14ac:dyDescent="0.3">
      <c r="A27">
        <v>26</v>
      </c>
      <c r="B27" s="3" t="s">
        <v>10</v>
      </c>
      <c r="C27" t="s">
        <v>37</v>
      </c>
      <c r="D27" t="s">
        <v>88</v>
      </c>
      <c r="E27" s="7">
        <v>2024</v>
      </c>
      <c r="F27" s="7" t="s">
        <v>133</v>
      </c>
      <c r="G27" t="s">
        <v>162</v>
      </c>
      <c r="H27" t="s">
        <v>179</v>
      </c>
      <c r="I27" t="s">
        <v>186</v>
      </c>
      <c r="J27" t="s">
        <v>226</v>
      </c>
      <c r="K27" t="s">
        <v>164</v>
      </c>
      <c r="L27" t="s">
        <v>193</v>
      </c>
    </row>
    <row r="28" spans="1:12" x14ac:dyDescent="0.3">
      <c r="A28" s="2">
        <v>27</v>
      </c>
      <c r="B28" s="2" t="s">
        <v>8</v>
      </c>
      <c r="C28" t="s">
        <v>38</v>
      </c>
      <c r="D28" t="s">
        <v>89</v>
      </c>
      <c r="E28">
        <v>2024</v>
      </c>
      <c r="F28" t="s">
        <v>135</v>
      </c>
      <c r="G28" t="s">
        <v>161</v>
      </c>
      <c r="H28" t="s">
        <v>179</v>
      </c>
      <c r="I28" t="s">
        <v>176</v>
      </c>
      <c r="J28" t="s">
        <v>227</v>
      </c>
      <c r="K28" t="s">
        <v>164</v>
      </c>
      <c r="L28" t="s">
        <v>195</v>
      </c>
    </row>
    <row r="29" spans="1:12" x14ac:dyDescent="0.3">
      <c r="A29">
        <v>28</v>
      </c>
      <c r="B29" s="2" t="s">
        <v>7</v>
      </c>
      <c r="C29" t="s">
        <v>39</v>
      </c>
      <c r="D29" t="s">
        <v>90</v>
      </c>
      <c r="E29">
        <v>2025</v>
      </c>
      <c r="F29" t="s">
        <v>136</v>
      </c>
      <c r="G29" t="s">
        <v>165</v>
      </c>
      <c r="H29" t="s">
        <v>179</v>
      </c>
      <c r="I29" t="s">
        <v>177</v>
      </c>
      <c r="J29" t="s">
        <v>228</v>
      </c>
      <c r="K29" t="s">
        <v>172</v>
      </c>
      <c r="L29" t="s">
        <v>197</v>
      </c>
    </row>
    <row r="30" spans="1:12" x14ac:dyDescent="0.3">
      <c r="A30" s="2">
        <v>29</v>
      </c>
      <c r="B30" s="3" t="s">
        <v>10</v>
      </c>
      <c r="C30" t="s">
        <v>40</v>
      </c>
      <c r="D30" t="s">
        <v>91</v>
      </c>
      <c r="E30" s="7">
        <v>2024</v>
      </c>
      <c r="F30" s="7" t="s">
        <v>137</v>
      </c>
      <c r="G30" t="s">
        <v>162</v>
      </c>
      <c r="H30" t="s">
        <v>180</v>
      </c>
      <c r="I30" t="s">
        <v>176</v>
      </c>
      <c r="J30" t="s">
        <v>229</v>
      </c>
      <c r="K30" t="s">
        <v>164</v>
      </c>
      <c r="L30" t="s">
        <v>193</v>
      </c>
    </row>
    <row r="31" spans="1:12" x14ac:dyDescent="0.3">
      <c r="A31">
        <v>30</v>
      </c>
      <c r="B31" s="3" t="s">
        <v>10</v>
      </c>
      <c r="C31" t="s">
        <v>41</v>
      </c>
      <c r="D31" t="s">
        <v>92</v>
      </c>
      <c r="E31" s="7">
        <v>2024</v>
      </c>
      <c r="F31" s="7" t="s">
        <v>138</v>
      </c>
      <c r="G31" t="s">
        <v>161</v>
      </c>
      <c r="H31" t="s">
        <v>183</v>
      </c>
      <c r="I31" t="s">
        <v>184</v>
      </c>
      <c r="J31" t="s">
        <v>230</v>
      </c>
      <c r="K31" t="s">
        <v>172</v>
      </c>
      <c r="L31" t="s">
        <v>195</v>
      </c>
    </row>
    <row r="32" spans="1:12" x14ac:dyDescent="0.3">
      <c r="A32" s="2">
        <v>31</v>
      </c>
      <c r="B32" s="3" t="s">
        <v>9</v>
      </c>
      <c r="C32" t="s">
        <v>42</v>
      </c>
      <c r="D32" t="s">
        <v>93</v>
      </c>
      <c r="E32" s="7">
        <v>2025</v>
      </c>
      <c r="F32" s="7" t="s">
        <v>139</v>
      </c>
      <c r="G32" t="s">
        <v>162</v>
      </c>
      <c r="H32" t="s">
        <v>181</v>
      </c>
      <c r="I32" t="s">
        <v>185</v>
      </c>
      <c r="J32" t="s">
        <v>231</v>
      </c>
      <c r="K32" t="s">
        <v>163</v>
      </c>
      <c r="L32" t="s">
        <v>195</v>
      </c>
    </row>
    <row r="33" spans="1:12" x14ac:dyDescent="0.3">
      <c r="A33">
        <v>32</v>
      </c>
      <c r="B33" s="3" t="s">
        <v>10</v>
      </c>
      <c r="C33" t="s">
        <v>43</v>
      </c>
      <c r="D33" t="s">
        <v>94</v>
      </c>
      <c r="E33" s="7">
        <v>2025</v>
      </c>
      <c r="F33" s="7" t="s">
        <v>140</v>
      </c>
      <c r="G33" t="s">
        <v>204</v>
      </c>
      <c r="H33" t="s">
        <v>183</v>
      </c>
      <c r="I33" t="s">
        <v>177</v>
      </c>
      <c r="J33" t="s">
        <v>232</v>
      </c>
      <c r="K33" t="s">
        <v>172</v>
      </c>
      <c r="L33" t="s">
        <v>193</v>
      </c>
    </row>
    <row r="34" spans="1:12" x14ac:dyDescent="0.3">
      <c r="A34">
        <v>770</v>
      </c>
      <c r="B34" s="4" t="s">
        <v>11</v>
      </c>
      <c r="C34" t="s">
        <v>44</v>
      </c>
      <c r="D34" t="s">
        <v>95</v>
      </c>
      <c r="E34" s="8">
        <v>2024</v>
      </c>
      <c r="F34" s="11" t="s">
        <v>141</v>
      </c>
      <c r="G34" t="s">
        <v>161</v>
      </c>
      <c r="H34" t="s">
        <v>182</v>
      </c>
      <c r="I34" t="s">
        <v>185</v>
      </c>
      <c r="J34" t="s">
        <v>233</v>
      </c>
      <c r="K34" t="s">
        <v>164</v>
      </c>
      <c r="L34" t="s">
        <v>193</v>
      </c>
    </row>
    <row r="35" spans="1:12" x14ac:dyDescent="0.3">
      <c r="A35" s="2">
        <v>771</v>
      </c>
      <c r="B35" s="4" t="s">
        <v>11</v>
      </c>
      <c r="C35" t="s">
        <v>45</v>
      </c>
      <c r="D35" t="s">
        <v>259</v>
      </c>
      <c r="E35" s="8">
        <v>2026</v>
      </c>
      <c r="F35" s="12" t="s">
        <v>160</v>
      </c>
      <c r="G35" t="s">
        <v>162</v>
      </c>
      <c r="H35" t="s">
        <v>179</v>
      </c>
      <c r="I35" t="s">
        <v>176</v>
      </c>
      <c r="J35" t="s">
        <v>173</v>
      </c>
      <c r="K35" t="s">
        <v>163</v>
      </c>
      <c r="L35" t="s">
        <v>195</v>
      </c>
    </row>
    <row r="36" spans="1:12" x14ac:dyDescent="0.3">
      <c r="A36">
        <v>772</v>
      </c>
      <c r="B36" s="4" t="s">
        <v>11</v>
      </c>
      <c r="C36" t="s">
        <v>46</v>
      </c>
      <c r="D36" t="s">
        <v>96</v>
      </c>
      <c r="E36" s="8">
        <v>2025</v>
      </c>
      <c r="F36" s="11" t="s">
        <v>142</v>
      </c>
      <c r="G36" t="s">
        <v>162</v>
      </c>
      <c r="H36" t="s">
        <v>181</v>
      </c>
      <c r="I36" t="s">
        <v>184</v>
      </c>
      <c r="J36" t="s">
        <v>234</v>
      </c>
      <c r="K36" t="s">
        <v>163</v>
      </c>
      <c r="L36" t="s">
        <v>195</v>
      </c>
    </row>
    <row r="37" spans="1:12" x14ac:dyDescent="0.3">
      <c r="A37">
        <v>773</v>
      </c>
      <c r="B37" s="4" t="s">
        <v>11</v>
      </c>
      <c r="C37" t="s">
        <v>47</v>
      </c>
      <c r="D37" t="s">
        <v>97</v>
      </c>
      <c r="E37" s="8">
        <v>2025</v>
      </c>
      <c r="F37" s="9" t="s">
        <v>143</v>
      </c>
      <c r="G37" t="s">
        <v>161</v>
      </c>
      <c r="H37" t="s">
        <v>179</v>
      </c>
      <c r="I37" t="s">
        <v>187</v>
      </c>
      <c r="J37" t="s">
        <v>235</v>
      </c>
      <c r="K37" t="s">
        <v>163</v>
      </c>
      <c r="L37" t="s">
        <v>195</v>
      </c>
    </row>
    <row r="38" spans="1:12" x14ac:dyDescent="0.3">
      <c r="A38" s="2">
        <v>774</v>
      </c>
      <c r="B38" s="4" t="s">
        <v>11</v>
      </c>
      <c r="C38" t="s">
        <v>48</v>
      </c>
      <c r="D38" t="s">
        <v>98</v>
      </c>
      <c r="E38" s="8">
        <v>2025</v>
      </c>
      <c r="F38" s="9" t="s">
        <v>144</v>
      </c>
      <c r="G38" t="s">
        <v>165</v>
      </c>
      <c r="H38" t="s">
        <v>182</v>
      </c>
      <c r="I38" t="s">
        <v>176</v>
      </c>
      <c r="J38" t="s">
        <v>236</v>
      </c>
      <c r="K38" t="s">
        <v>164</v>
      </c>
      <c r="L38" t="s">
        <v>193</v>
      </c>
    </row>
    <row r="39" spans="1:12" x14ac:dyDescent="0.3">
      <c r="A39">
        <v>775</v>
      </c>
      <c r="B39" s="4" t="s">
        <v>11</v>
      </c>
      <c r="C39" t="s">
        <v>49</v>
      </c>
      <c r="D39" t="s">
        <v>99</v>
      </c>
      <c r="E39" s="8">
        <v>2025</v>
      </c>
      <c r="F39" s="9" t="s">
        <v>145</v>
      </c>
      <c r="G39" t="s">
        <v>175</v>
      </c>
      <c r="H39" t="s">
        <v>179</v>
      </c>
      <c r="I39" t="s">
        <v>184</v>
      </c>
      <c r="J39" t="s">
        <v>237</v>
      </c>
      <c r="K39" t="s">
        <v>163</v>
      </c>
      <c r="L39" t="s">
        <v>195</v>
      </c>
    </row>
    <row r="40" spans="1:12" x14ac:dyDescent="0.3">
      <c r="A40">
        <v>776</v>
      </c>
      <c r="B40" s="4" t="s">
        <v>11</v>
      </c>
      <c r="C40" t="s">
        <v>50</v>
      </c>
      <c r="D40" t="s">
        <v>100</v>
      </c>
      <c r="E40" s="9">
        <v>2026</v>
      </c>
      <c r="F40" s="9" t="s">
        <v>146</v>
      </c>
      <c r="G40" t="s">
        <v>162</v>
      </c>
      <c r="H40" t="s">
        <v>182</v>
      </c>
      <c r="I40" t="s">
        <v>186</v>
      </c>
      <c r="J40" t="s">
        <v>238</v>
      </c>
      <c r="K40" t="s">
        <v>164</v>
      </c>
      <c r="L40" t="s">
        <v>194</v>
      </c>
    </row>
    <row r="41" spans="1:12" x14ac:dyDescent="0.3">
      <c r="A41" s="2">
        <v>777</v>
      </c>
      <c r="B41" s="4" t="s">
        <v>11</v>
      </c>
      <c r="C41" t="s">
        <v>51</v>
      </c>
      <c r="D41" t="s">
        <v>101</v>
      </c>
      <c r="E41" s="9">
        <v>2025</v>
      </c>
      <c r="F41" s="9" t="s">
        <v>147</v>
      </c>
      <c r="G41" t="s">
        <v>165</v>
      </c>
      <c r="H41" t="s">
        <v>180</v>
      </c>
      <c r="I41" t="s">
        <v>176</v>
      </c>
      <c r="J41" t="s">
        <v>239</v>
      </c>
      <c r="K41" t="s">
        <v>164</v>
      </c>
      <c r="L41" t="s">
        <v>194</v>
      </c>
    </row>
    <row r="42" spans="1:12" x14ac:dyDescent="0.3">
      <c r="A42">
        <v>778</v>
      </c>
      <c r="B42" s="4" t="s">
        <v>12</v>
      </c>
      <c r="C42" t="s">
        <v>52</v>
      </c>
      <c r="D42" t="s">
        <v>102</v>
      </c>
      <c r="E42" s="8">
        <v>2023</v>
      </c>
      <c r="F42" s="11" t="s">
        <v>148</v>
      </c>
      <c r="G42" t="s">
        <v>162</v>
      </c>
      <c r="H42" t="s">
        <v>179</v>
      </c>
      <c r="I42" t="s">
        <v>184</v>
      </c>
      <c r="J42" t="s">
        <v>240</v>
      </c>
      <c r="K42" t="s">
        <v>164</v>
      </c>
      <c r="L42" t="s">
        <v>194</v>
      </c>
    </row>
    <row r="43" spans="1:12" x14ac:dyDescent="0.3">
      <c r="A43">
        <v>779</v>
      </c>
      <c r="B43" s="4" t="s">
        <v>12</v>
      </c>
      <c r="C43" t="s">
        <v>53</v>
      </c>
      <c r="D43" t="s">
        <v>103</v>
      </c>
      <c r="E43" s="9">
        <v>2023</v>
      </c>
      <c r="F43" s="9" t="s">
        <v>149</v>
      </c>
      <c r="G43" t="s">
        <v>175</v>
      </c>
      <c r="H43" t="s">
        <v>179</v>
      </c>
      <c r="I43" t="s">
        <v>184</v>
      </c>
      <c r="J43" t="s">
        <v>241</v>
      </c>
      <c r="K43" t="s">
        <v>163</v>
      </c>
      <c r="L43" t="s">
        <v>195</v>
      </c>
    </row>
    <row r="44" spans="1:12" x14ac:dyDescent="0.3">
      <c r="A44" s="2">
        <v>780</v>
      </c>
      <c r="B44" s="4" t="s">
        <v>12</v>
      </c>
      <c r="C44" t="s">
        <v>54</v>
      </c>
      <c r="D44" t="s">
        <v>104</v>
      </c>
      <c r="E44" s="9">
        <v>2023</v>
      </c>
      <c r="F44" s="9" t="s">
        <v>150</v>
      </c>
      <c r="G44" t="s">
        <v>161</v>
      </c>
      <c r="H44" t="s">
        <v>183</v>
      </c>
      <c r="I44" t="s">
        <v>185</v>
      </c>
      <c r="J44" t="s">
        <v>174</v>
      </c>
      <c r="K44" t="s">
        <v>163</v>
      </c>
      <c r="L44" t="s">
        <v>195</v>
      </c>
    </row>
    <row r="45" spans="1:12" x14ac:dyDescent="0.3">
      <c r="A45">
        <v>781</v>
      </c>
      <c r="B45" t="s">
        <v>12</v>
      </c>
      <c r="C45" t="s">
        <v>55</v>
      </c>
      <c r="D45" t="s">
        <v>105</v>
      </c>
      <c r="E45">
        <v>2024</v>
      </c>
      <c r="F45" t="s">
        <v>151</v>
      </c>
      <c r="G45" t="s">
        <v>161</v>
      </c>
      <c r="H45" t="s">
        <v>182</v>
      </c>
      <c r="I45" t="s">
        <v>185</v>
      </c>
      <c r="J45" t="s">
        <v>242</v>
      </c>
      <c r="K45" t="s">
        <v>163</v>
      </c>
      <c r="L45" t="s">
        <v>194</v>
      </c>
    </row>
    <row r="46" spans="1:12" x14ac:dyDescent="0.3">
      <c r="A46">
        <v>782</v>
      </c>
      <c r="B46" s="4" t="s">
        <v>12</v>
      </c>
      <c r="C46" t="s">
        <v>56</v>
      </c>
      <c r="D46" t="s">
        <v>106</v>
      </c>
      <c r="E46" s="9">
        <v>2024</v>
      </c>
      <c r="F46" s="9" t="s">
        <v>152</v>
      </c>
      <c r="G46" t="s">
        <v>162</v>
      </c>
      <c r="H46" t="s">
        <v>180</v>
      </c>
      <c r="I46" t="s">
        <v>186</v>
      </c>
      <c r="J46" t="s">
        <v>243</v>
      </c>
      <c r="K46" t="s">
        <v>164</v>
      </c>
      <c r="L46" t="s">
        <v>195</v>
      </c>
    </row>
    <row r="47" spans="1:12" x14ac:dyDescent="0.3">
      <c r="A47" s="2">
        <v>783</v>
      </c>
      <c r="B47" s="4" t="s">
        <v>12</v>
      </c>
      <c r="C47" t="s">
        <v>57</v>
      </c>
      <c r="D47" t="s">
        <v>107</v>
      </c>
      <c r="E47" s="9">
        <v>2024</v>
      </c>
      <c r="F47" s="9" t="s">
        <v>153</v>
      </c>
      <c r="G47" t="s">
        <v>162</v>
      </c>
      <c r="H47" t="s">
        <v>183</v>
      </c>
      <c r="I47" t="s">
        <v>176</v>
      </c>
      <c r="J47" t="s">
        <v>244</v>
      </c>
      <c r="K47" t="s">
        <v>163</v>
      </c>
      <c r="L47" t="s">
        <v>194</v>
      </c>
    </row>
    <row r="48" spans="1:12" x14ac:dyDescent="0.3">
      <c r="A48">
        <v>784</v>
      </c>
      <c r="B48" s="4" t="s">
        <v>12</v>
      </c>
      <c r="C48" t="s">
        <v>58</v>
      </c>
      <c r="D48" t="s">
        <v>108</v>
      </c>
      <c r="E48" s="9">
        <v>2024</v>
      </c>
      <c r="F48" s="9" t="s">
        <v>154</v>
      </c>
      <c r="G48" t="s">
        <v>162</v>
      </c>
      <c r="H48" t="s">
        <v>180</v>
      </c>
      <c r="I48" t="s">
        <v>176</v>
      </c>
      <c r="J48" t="s">
        <v>245</v>
      </c>
      <c r="K48" t="s">
        <v>163</v>
      </c>
      <c r="L48" t="s">
        <v>195</v>
      </c>
    </row>
    <row r="49" spans="1:12" x14ac:dyDescent="0.3">
      <c r="A49">
        <v>785</v>
      </c>
      <c r="B49" s="4" t="s">
        <v>12</v>
      </c>
      <c r="C49" t="s">
        <v>59</v>
      </c>
      <c r="D49" t="s">
        <v>109</v>
      </c>
      <c r="E49" s="9">
        <v>2024</v>
      </c>
      <c r="F49" s="9" t="s">
        <v>155</v>
      </c>
      <c r="G49" t="s">
        <v>162</v>
      </c>
      <c r="H49" t="s">
        <v>179</v>
      </c>
      <c r="I49" t="s">
        <v>185</v>
      </c>
      <c r="J49" t="s">
        <v>246</v>
      </c>
      <c r="K49" t="s">
        <v>164</v>
      </c>
      <c r="L49" t="s">
        <v>193</v>
      </c>
    </row>
    <row r="50" spans="1:12" x14ac:dyDescent="0.3">
      <c r="A50" s="2">
        <v>786</v>
      </c>
      <c r="B50" s="4" t="s">
        <v>12</v>
      </c>
      <c r="C50" t="s">
        <v>60</v>
      </c>
      <c r="D50" t="s">
        <v>110</v>
      </c>
      <c r="E50" s="9">
        <v>2024</v>
      </c>
      <c r="F50" s="13" t="s">
        <v>157</v>
      </c>
      <c r="G50" t="s">
        <v>171</v>
      </c>
      <c r="H50" t="s">
        <v>179</v>
      </c>
      <c r="I50" t="s">
        <v>176</v>
      </c>
      <c r="J50" t="s">
        <v>247</v>
      </c>
      <c r="K50" t="s">
        <v>163</v>
      </c>
      <c r="L50" t="s">
        <v>196</v>
      </c>
    </row>
    <row r="51" spans="1:12" x14ac:dyDescent="0.3">
      <c r="A51">
        <v>787</v>
      </c>
      <c r="B51" s="4" t="s">
        <v>12</v>
      </c>
      <c r="C51" t="s">
        <v>61</v>
      </c>
      <c r="D51" t="s">
        <v>111</v>
      </c>
      <c r="E51" s="9">
        <v>2024</v>
      </c>
      <c r="F51" s="13" t="s">
        <v>156</v>
      </c>
      <c r="G51" t="s">
        <v>161</v>
      </c>
      <c r="H51" t="s">
        <v>183</v>
      </c>
      <c r="I51" t="s">
        <v>176</v>
      </c>
      <c r="J51" t="s">
        <v>248</v>
      </c>
      <c r="K51" t="s">
        <v>164</v>
      </c>
      <c r="L51" t="s">
        <v>193</v>
      </c>
    </row>
    <row r="52" spans="1:12" x14ac:dyDescent="0.3">
      <c r="A52">
        <v>788</v>
      </c>
      <c r="B52" s="4" t="s">
        <v>12</v>
      </c>
      <c r="C52" t="s">
        <v>43</v>
      </c>
      <c r="D52" t="s">
        <v>112</v>
      </c>
      <c r="E52" s="9">
        <v>2024</v>
      </c>
      <c r="F52" s="9" t="s">
        <v>158</v>
      </c>
      <c r="G52" t="s">
        <v>204</v>
      </c>
      <c r="H52" t="s">
        <v>180</v>
      </c>
      <c r="I52" t="s">
        <v>184</v>
      </c>
      <c r="J52" t="s">
        <v>249</v>
      </c>
      <c r="K52" t="s">
        <v>164</v>
      </c>
      <c r="L52" t="s">
        <v>195</v>
      </c>
    </row>
  </sheetData>
  <hyperlinks>
    <hyperlink ref="F50" r:id="rId1" display="L@S '24: Proceedings of the Eleventh ACM Conference on Learning @ Scale" xr:uid="{59E1BD3E-B727-4F2B-A9AF-14C8AE51AB5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E3BD-55D8-4760-8432-D3B10A4F4FBE}">
  <dimension ref="A1:C38"/>
  <sheetViews>
    <sheetView zoomScale="65" workbookViewId="0">
      <selection activeCell="E20" sqref="E20"/>
    </sheetView>
  </sheetViews>
  <sheetFormatPr defaultRowHeight="14.4" x14ac:dyDescent="0.3"/>
  <cols>
    <col min="1" max="1" width="27.44140625" customWidth="1"/>
    <col min="2" max="2" width="25.5546875" customWidth="1"/>
    <col min="3" max="3" width="29" customWidth="1"/>
  </cols>
  <sheetData>
    <row r="1" spans="1:3" x14ac:dyDescent="0.3">
      <c r="A1" s="36" t="s">
        <v>264</v>
      </c>
      <c r="B1" s="37"/>
      <c r="C1" s="37"/>
    </row>
    <row r="2" spans="1:3" x14ac:dyDescent="0.3">
      <c r="A2" s="16" t="s">
        <v>188</v>
      </c>
      <c r="B2" s="16" t="s">
        <v>189</v>
      </c>
      <c r="C2" s="16" t="s">
        <v>190</v>
      </c>
    </row>
    <row r="3" spans="1:3" x14ac:dyDescent="0.3">
      <c r="A3" s="28" t="s">
        <v>162</v>
      </c>
      <c r="B3" s="17">
        <f>COUNTIF(Sheet1!$G:$G,$A3)</f>
        <v>25</v>
      </c>
      <c r="C3" s="18">
        <f>B3/B9</f>
        <v>0.49019607843137253</v>
      </c>
    </row>
    <row r="4" spans="1:3" x14ac:dyDescent="0.3">
      <c r="A4" s="28" t="s">
        <v>161</v>
      </c>
      <c r="B4" s="17">
        <f>COUNTIF(Sheet1!$G:$G,$A4)</f>
        <v>12</v>
      </c>
      <c r="C4" s="18">
        <f>B4/B9</f>
        <v>0.23529411764705882</v>
      </c>
    </row>
    <row r="5" spans="1:3" x14ac:dyDescent="0.3">
      <c r="A5" s="28" t="s">
        <v>165</v>
      </c>
      <c r="B5" s="17">
        <f>COUNTIF(Sheet1!$G:$G,$A5)</f>
        <v>4</v>
      </c>
      <c r="C5" s="18">
        <f>B5/B9</f>
        <v>7.8431372549019607E-2</v>
      </c>
    </row>
    <row r="6" spans="1:3" x14ac:dyDescent="0.3">
      <c r="A6" s="28" t="s">
        <v>178</v>
      </c>
      <c r="B6" s="17">
        <f>COUNTIF(Sheet1!$G:$G,$A6)</f>
        <v>2</v>
      </c>
      <c r="C6" s="18">
        <f>B6/B9</f>
        <v>3.9215686274509803E-2</v>
      </c>
    </row>
    <row r="7" spans="1:3" x14ac:dyDescent="0.3">
      <c r="A7" s="28" t="s">
        <v>175</v>
      </c>
      <c r="B7" s="17">
        <f>COUNTIF(Sheet1!$G:$G,$A7)</f>
        <v>7</v>
      </c>
      <c r="C7" s="18">
        <f>B7/B9</f>
        <v>0.13725490196078433</v>
      </c>
    </row>
    <row r="8" spans="1:3" x14ac:dyDescent="0.3">
      <c r="A8" s="28" t="s">
        <v>171</v>
      </c>
      <c r="B8" s="17">
        <f>COUNTIF(Sheet1!$G:$G,$A8)</f>
        <v>1</v>
      </c>
      <c r="C8" s="18">
        <f>B8/B9</f>
        <v>1.9607843137254902E-2</v>
      </c>
    </row>
    <row r="9" spans="1:3" x14ac:dyDescent="0.3">
      <c r="A9" s="19" t="s">
        <v>191</v>
      </c>
      <c r="B9" s="20">
        <f>SUM(B3:B8)</f>
        <v>51</v>
      </c>
      <c r="C9" s="21" t="s">
        <v>192</v>
      </c>
    </row>
    <row r="11" spans="1:3" x14ac:dyDescent="0.3">
      <c r="A11" s="38" t="s">
        <v>260</v>
      </c>
      <c r="B11" s="37"/>
      <c r="C11" s="37"/>
    </row>
    <row r="12" spans="1:3" x14ac:dyDescent="0.3">
      <c r="A12" s="16" t="s">
        <v>188</v>
      </c>
      <c r="B12" s="16" t="s">
        <v>189</v>
      </c>
      <c r="C12" s="16" t="s">
        <v>190</v>
      </c>
    </row>
    <row r="13" spans="1:3" x14ac:dyDescent="0.3">
      <c r="A13" s="28" t="s">
        <v>179</v>
      </c>
      <c r="B13" s="17">
        <f>COUNTIF(Sheet1!$H:$H,$A13)</f>
        <v>23</v>
      </c>
      <c r="C13" s="18">
        <f>B13/B18</f>
        <v>0.45098039215686275</v>
      </c>
    </row>
    <row r="14" spans="1:3" x14ac:dyDescent="0.3">
      <c r="A14" s="28" t="s">
        <v>182</v>
      </c>
      <c r="B14" s="17">
        <f>COUNTIF(Sheet1!$H:$H,$A14)</f>
        <v>10</v>
      </c>
      <c r="C14" s="18">
        <f>B14/B18</f>
        <v>0.19607843137254902</v>
      </c>
    </row>
    <row r="15" spans="1:3" x14ac:dyDescent="0.3">
      <c r="A15" s="28" t="s">
        <v>180</v>
      </c>
      <c r="B15" s="17">
        <f>COUNTIF(Sheet1!$H:$H,$A15)</f>
        <v>8</v>
      </c>
      <c r="C15" s="18">
        <f>B15/B18</f>
        <v>0.15686274509803921</v>
      </c>
    </row>
    <row r="16" spans="1:3" x14ac:dyDescent="0.3">
      <c r="A16" s="28" t="s">
        <v>183</v>
      </c>
      <c r="B16" s="17">
        <f>COUNTIF(Sheet1!$H:$H,$A16)</f>
        <v>7</v>
      </c>
      <c r="C16" s="18">
        <f>B16/B18</f>
        <v>0.13725490196078433</v>
      </c>
    </row>
    <row r="17" spans="1:3" x14ac:dyDescent="0.3">
      <c r="A17" s="28" t="s">
        <v>181</v>
      </c>
      <c r="B17" s="17">
        <f>COUNTIF(Sheet1!$H:$H,$A17)</f>
        <v>3</v>
      </c>
      <c r="C17" s="18">
        <f>B17/B18</f>
        <v>5.8823529411764705E-2</v>
      </c>
    </row>
    <row r="18" spans="1:3" x14ac:dyDescent="0.3">
      <c r="A18" s="19" t="s">
        <v>191</v>
      </c>
      <c r="B18" s="20">
        <f>SUM(B13:B17)</f>
        <v>51</v>
      </c>
      <c r="C18" s="21" t="s">
        <v>192</v>
      </c>
    </row>
    <row r="20" spans="1:3" x14ac:dyDescent="0.3">
      <c r="A20" s="39" t="s">
        <v>267</v>
      </c>
      <c r="B20" s="40"/>
      <c r="C20" s="40"/>
    </row>
    <row r="21" spans="1:3" x14ac:dyDescent="0.3">
      <c r="A21" s="16" t="s">
        <v>188</v>
      </c>
      <c r="B21" s="16" t="s">
        <v>189</v>
      </c>
      <c r="C21" s="16" t="s">
        <v>190</v>
      </c>
    </row>
    <row r="22" spans="1:3" x14ac:dyDescent="0.3">
      <c r="A22" s="28" t="s">
        <v>185</v>
      </c>
      <c r="B22" s="17">
        <f>COUNTIF(Sheet1!$I:$I,$A22)</f>
        <v>13</v>
      </c>
      <c r="C22" s="18">
        <f>B22/B28</f>
        <v>0.25490196078431371</v>
      </c>
    </row>
    <row r="23" spans="1:3" x14ac:dyDescent="0.3">
      <c r="A23" s="28" t="s">
        <v>186</v>
      </c>
      <c r="B23" s="17">
        <f>COUNTIF(Sheet1!$I:$I,$A23)</f>
        <v>12</v>
      </c>
      <c r="C23" s="18">
        <f>B23/B28</f>
        <v>0.23529411764705882</v>
      </c>
    </row>
    <row r="24" spans="1:3" x14ac:dyDescent="0.3">
      <c r="A24" s="28" t="s">
        <v>184</v>
      </c>
      <c r="B24" s="17">
        <f>COUNTIF(Sheet1!$I:$I,$A24)</f>
        <v>11</v>
      </c>
      <c r="C24" s="18">
        <f>B24/B28</f>
        <v>0.21568627450980393</v>
      </c>
    </row>
    <row r="25" spans="1:3" x14ac:dyDescent="0.3">
      <c r="A25" s="28" t="s">
        <v>176</v>
      </c>
      <c r="B25" s="17">
        <f>COUNTIF(Sheet1!$I:$I,$A25)</f>
        <v>12</v>
      </c>
      <c r="C25" s="18">
        <f>B25/B28</f>
        <v>0.23529411764705882</v>
      </c>
    </row>
    <row r="26" spans="1:3" x14ac:dyDescent="0.3">
      <c r="A26" s="28" t="s">
        <v>187</v>
      </c>
      <c r="B26" s="17">
        <f>COUNTIF(Sheet1!$I:$I,$A26)</f>
        <v>1</v>
      </c>
      <c r="C26" s="18">
        <f>B26/B28</f>
        <v>1.9607843137254902E-2</v>
      </c>
    </row>
    <row r="27" spans="1:3" x14ac:dyDescent="0.3">
      <c r="A27" s="28" t="s">
        <v>177</v>
      </c>
      <c r="B27" s="17">
        <f>COUNTIF(Sheet1!$I:$I,$A27)</f>
        <v>2</v>
      </c>
      <c r="C27" s="18">
        <f>B27/B28</f>
        <v>3.9215686274509803E-2</v>
      </c>
    </row>
    <row r="28" spans="1:3" x14ac:dyDescent="0.3">
      <c r="A28" s="19" t="s">
        <v>191</v>
      </c>
      <c r="B28" s="20">
        <f>SUM(B22:B27)</f>
        <v>51</v>
      </c>
      <c r="C28" s="21" t="s">
        <v>192</v>
      </c>
    </row>
    <row r="31" spans="1:3" x14ac:dyDescent="0.3">
      <c r="A31" s="39" t="s">
        <v>261</v>
      </c>
      <c r="B31" s="40"/>
      <c r="C31" s="40"/>
    </row>
    <row r="32" spans="1:3" x14ac:dyDescent="0.3">
      <c r="A32" s="16" t="s">
        <v>188</v>
      </c>
      <c r="B32" s="16" t="s">
        <v>189</v>
      </c>
      <c r="C32" s="16" t="s">
        <v>190</v>
      </c>
    </row>
    <row r="33" spans="1:3" x14ac:dyDescent="0.3">
      <c r="A33" s="28" t="s">
        <v>195</v>
      </c>
      <c r="B33" s="17">
        <f>COUNTIF(Sheet1!L:L,"Overreliance &amp; Skill Loss")</f>
        <v>20</v>
      </c>
      <c r="C33" s="18">
        <f>B33/B38</f>
        <v>0.39215686274509803</v>
      </c>
    </row>
    <row r="34" spans="1:3" x14ac:dyDescent="0.3">
      <c r="A34" s="28" t="s">
        <v>194</v>
      </c>
      <c r="B34" s="17">
        <f>COUNTIF(Sheet1!L:L,"Performance &amp; Productivity")</f>
        <v>14</v>
      </c>
      <c r="C34" s="18">
        <f>B34/B38</f>
        <v>0.27450980392156865</v>
      </c>
    </row>
    <row r="35" spans="1:3" x14ac:dyDescent="0.3">
      <c r="A35" s="28" t="s">
        <v>193</v>
      </c>
      <c r="B35" s="17">
        <f>COUNTIF(Sheet1!L:L,"Feedback &amp; Assessment Design")</f>
        <v>13</v>
      </c>
      <c r="C35" s="18">
        <f>B35/B38</f>
        <v>0.25490196078431371</v>
      </c>
    </row>
    <row r="36" spans="1:3" x14ac:dyDescent="0.3">
      <c r="A36" s="28" t="s">
        <v>197</v>
      </c>
      <c r="B36" s="17">
        <f>COUNTIF(Sheet1!L:L,"Collaboration &amp; Workflow")</f>
        <v>3</v>
      </c>
      <c r="C36" s="18">
        <f>B36/B38</f>
        <v>5.8823529411764705E-2</v>
      </c>
    </row>
    <row r="37" spans="1:3" x14ac:dyDescent="0.3">
      <c r="A37" s="28" t="s">
        <v>196</v>
      </c>
      <c r="B37" s="17">
        <f>COUNTIF(Sheet1!L:L,"Academic Integrity")</f>
        <v>1</v>
      </c>
      <c r="C37" s="18">
        <f>B37/B38</f>
        <v>1.9607843137254902E-2</v>
      </c>
    </row>
    <row r="38" spans="1:3" x14ac:dyDescent="0.3">
      <c r="A38" s="19" t="s">
        <v>191</v>
      </c>
      <c r="B38" s="20">
        <f>SUM(B33:B37)</f>
        <v>51</v>
      </c>
      <c r="C38" s="21" t="s">
        <v>192</v>
      </c>
    </row>
  </sheetData>
  <mergeCells count="4">
    <mergeCell ref="A1:C1"/>
    <mergeCell ref="A11:C11"/>
    <mergeCell ref="A20:C20"/>
    <mergeCell ref="A31:C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2642A-E6DF-4CCC-B8D2-8CF4BFBEB919}">
  <dimension ref="A1:J46"/>
  <sheetViews>
    <sheetView topLeftCell="A3" zoomScale="78" zoomScaleNormal="78" workbookViewId="0">
      <selection activeCell="L8" sqref="L8"/>
    </sheetView>
  </sheetViews>
  <sheetFormatPr defaultRowHeight="14.4" x14ac:dyDescent="0.3"/>
  <cols>
    <col min="1" max="1" width="24.6640625" customWidth="1"/>
    <col min="2" max="2" width="25.109375" bestFit="1" customWidth="1"/>
    <col min="3" max="3" width="23.88671875" customWidth="1"/>
    <col min="4" max="4" width="25.33203125" customWidth="1"/>
    <col min="5" max="5" width="17.109375" customWidth="1"/>
    <col min="6" max="6" width="30.33203125" customWidth="1"/>
    <col min="7" max="7" width="24.44140625" bestFit="1" customWidth="1"/>
    <col min="8" max="8" width="11.109375" bestFit="1" customWidth="1"/>
    <col min="9" max="9" width="17.6640625" customWidth="1"/>
    <col min="10" max="10" width="8.88671875" style="24"/>
  </cols>
  <sheetData>
    <row r="1" spans="1:10" x14ac:dyDescent="0.3">
      <c r="A1" s="43" t="s">
        <v>266</v>
      </c>
      <c r="B1" s="44"/>
      <c r="C1" s="44"/>
      <c r="D1" s="44"/>
      <c r="E1" s="44"/>
      <c r="F1" s="44"/>
      <c r="G1" s="44"/>
      <c r="H1" s="45"/>
      <c r="I1" s="24"/>
      <c r="J1"/>
    </row>
    <row r="2" spans="1:10" x14ac:dyDescent="0.3">
      <c r="A2" s="16" t="s">
        <v>198</v>
      </c>
      <c r="B2" s="16" t="s">
        <v>185</v>
      </c>
      <c r="C2" s="16" t="s">
        <v>184</v>
      </c>
      <c r="D2" s="16" t="s">
        <v>186</v>
      </c>
      <c r="E2" s="16" t="s">
        <v>176</v>
      </c>
      <c r="F2" s="16" t="s">
        <v>187</v>
      </c>
      <c r="G2" s="16" t="s">
        <v>177</v>
      </c>
      <c r="H2" s="22" t="s">
        <v>191</v>
      </c>
      <c r="I2" s="24"/>
      <c r="J2"/>
    </row>
    <row r="3" spans="1:10" x14ac:dyDescent="0.3">
      <c r="A3" s="28" t="s">
        <v>194</v>
      </c>
      <c r="B3" s="17">
        <f>COUNTIFS(Sheet1!$I:$I,B$2,Sheet1!$L:$L,$A3)</f>
        <v>6</v>
      </c>
      <c r="C3" s="17">
        <f>COUNTIFS(Sheet1!$I:$I,C$2,Sheet1!$L:$L,$A3)</f>
        <v>1</v>
      </c>
      <c r="D3" s="17">
        <f>COUNTIFS(Sheet1!$I:$I,D$2,Sheet1!$L:$L,$A3)</f>
        <v>4</v>
      </c>
      <c r="E3" s="17">
        <f>COUNTIFS(Sheet1!$I:$I,E$2,Sheet1!$L:$L,$A3)</f>
        <v>3</v>
      </c>
      <c r="F3" s="17">
        <f>COUNTIFS(Sheet1!$I:$I,F$2,Sheet1!$L:$L,$A3)</f>
        <v>0</v>
      </c>
      <c r="G3" s="17">
        <f>COUNTIFS(Sheet1!$I:$I,G$2,Sheet1!$L:$L,$A3)</f>
        <v>0</v>
      </c>
      <c r="H3" s="23">
        <f>SUM(B3:G3)</f>
        <v>14</v>
      </c>
      <c r="I3" s="24"/>
      <c r="J3"/>
    </row>
    <row r="4" spans="1:10" x14ac:dyDescent="0.3">
      <c r="A4" s="28" t="s">
        <v>195</v>
      </c>
      <c r="B4" s="17">
        <f>COUNTIFS(Sheet1!$I:$I,B$2,Sheet1!$L:$L,$A4)</f>
        <v>3</v>
      </c>
      <c r="C4" s="17">
        <f>COUNTIFS(Sheet1!$I:$I,C$2,Sheet1!$L:$L,$A4)</f>
        <v>9</v>
      </c>
      <c r="D4" s="17">
        <f>COUNTIFS(Sheet1!$I:$I,D$2,Sheet1!$L:$L,$A4)</f>
        <v>3</v>
      </c>
      <c r="E4" s="17">
        <f>COUNTIFS(Sheet1!$I:$I,E$2,Sheet1!$L:$L,$A4)</f>
        <v>4</v>
      </c>
      <c r="F4" s="17">
        <f>COUNTIFS(Sheet1!$I:$I,F$2,Sheet1!$L:$L,$A4)</f>
        <v>1</v>
      </c>
      <c r="G4" s="17">
        <f>COUNTIFS(Sheet1!$I:$I,G$2,Sheet1!$L:$L,$A4)</f>
        <v>0</v>
      </c>
      <c r="H4" s="23">
        <f>SUM(B4:G4)</f>
        <v>20</v>
      </c>
      <c r="I4" s="24"/>
      <c r="J4"/>
    </row>
    <row r="5" spans="1:10" x14ac:dyDescent="0.3">
      <c r="A5" s="28" t="s">
        <v>193</v>
      </c>
      <c r="B5" s="17">
        <f>COUNTIFS(Sheet1!$I:$I,B$2,Sheet1!$L:$L,$A5)</f>
        <v>4</v>
      </c>
      <c r="C5" s="17">
        <f>COUNTIFS(Sheet1!$I:$I,C$2,Sheet1!$L:$L,$A5)</f>
        <v>1</v>
      </c>
      <c r="D5" s="17">
        <f>COUNTIFS(Sheet1!$I:$I,D$2,Sheet1!$L:$L,$A5)</f>
        <v>3</v>
      </c>
      <c r="E5" s="17">
        <f>COUNTIFS(Sheet1!$I:$I,E$2,Sheet1!$L:$L,$A5)</f>
        <v>4</v>
      </c>
      <c r="F5" s="17">
        <f>COUNTIFS(Sheet1!$I:$I,F$2,Sheet1!$L:$L,$A5)</f>
        <v>0</v>
      </c>
      <c r="G5" s="17">
        <f>COUNTIFS(Sheet1!$I:$I,G$2,Sheet1!$L:$L,$A5)</f>
        <v>1</v>
      </c>
      <c r="H5" s="23">
        <f>SUM(B5:G5)</f>
        <v>13</v>
      </c>
      <c r="I5" s="24"/>
      <c r="J5"/>
    </row>
    <row r="6" spans="1:10" x14ac:dyDescent="0.3">
      <c r="A6" s="28" t="s">
        <v>197</v>
      </c>
      <c r="B6" s="17">
        <f>COUNTIFS(Sheet1!$I:$I,B$2,Sheet1!$L:$L,$A6)</f>
        <v>0</v>
      </c>
      <c r="C6" s="17">
        <f>COUNTIFS(Sheet1!$I:$I,C$2,Sheet1!$L:$L,$A6)</f>
        <v>0</v>
      </c>
      <c r="D6" s="17">
        <f>COUNTIFS(Sheet1!$I:$I,D$2,Sheet1!$L:$L,$A6)</f>
        <v>2</v>
      </c>
      <c r="E6" s="17">
        <f>COUNTIFS(Sheet1!$I:$I,E$2,Sheet1!$L:$L,$A6)</f>
        <v>0</v>
      </c>
      <c r="F6" s="17">
        <f>COUNTIFS(Sheet1!$I:$I,F$2,Sheet1!$L:$L,$A6)</f>
        <v>0</v>
      </c>
      <c r="G6" s="17">
        <f>COUNTIFS(Sheet1!$I:$I,G$2,Sheet1!$L:$L,$A6)</f>
        <v>1</v>
      </c>
      <c r="H6" s="23">
        <f>SUM(B6:G6)</f>
        <v>3</v>
      </c>
      <c r="I6" s="24"/>
      <c r="J6"/>
    </row>
    <row r="7" spans="1:10" x14ac:dyDescent="0.3">
      <c r="A7" s="28" t="s">
        <v>196</v>
      </c>
      <c r="B7" s="17">
        <f>COUNTIFS(Sheet1!$I:$I,B$2,Sheet1!$L:$L,$A7)</f>
        <v>0</v>
      </c>
      <c r="C7" s="17">
        <f>COUNTIFS(Sheet1!$I:$I,C$2,Sheet1!$L:$L,$A7)</f>
        <v>0</v>
      </c>
      <c r="D7" s="17">
        <f>COUNTIFS(Sheet1!$I:$I,D$2,Sheet1!$L:$L,$A7)</f>
        <v>0</v>
      </c>
      <c r="E7" s="17">
        <f>COUNTIFS(Sheet1!$I:$I,E$2,Sheet1!$L:$L,$A7)</f>
        <v>1</v>
      </c>
      <c r="F7" s="17">
        <f>COUNTIFS(Sheet1!$I:$I,F$2,Sheet1!$L:$L,$A7)</f>
        <v>0</v>
      </c>
      <c r="G7" s="17">
        <f>COUNTIFS(Sheet1!$I:$I,G$2,Sheet1!$L:$L,$A7)</f>
        <v>0</v>
      </c>
      <c r="H7" s="23">
        <f>SUM(B7:G7)</f>
        <v>1</v>
      </c>
      <c r="I7" s="24"/>
      <c r="J7"/>
    </row>
    <row r="8" spans="1:10" x14ac:dyDescent="0.3">
      <c r="A8" s="25" t="s">
        <v>191</v>
      </c>
      <c r="B8" s="26">
        <f t="shared" ref="B8:H8" si="0">SUM(B3:B7)</f>
        <v>13</v>
      </c>
      <c r="C8" s="26">
        <f t="shared" si="0"/>
        <v>11</v>
      </c>
      <c r="D8" s="26">
        <f t="shared" si="0"/>
        <v>12</v>
      </c>
      <c r="E8" s="26">
        <f t="shared" si="0"/>
        <v>12</v>
      </c>
      <c r="F8" s="26">
        <f t="shared" si="0"/>
        <v>1</v>
      </c>
      <c r="G8" s="26">
        <f t="shared" si="0"/>
        <v>2</v>
      </c>
      <c r="H8" s="27">
        <f t="shared" si="0"/>
        <v>51</v>
      </c>
    </row>
    <row r="10" spans="1:10" x14ac:dyDescent="0.3">
      <c r="J10"/>
    </row>
    <row r="12" spans="1:10" x14ac:dyDescent="0.3">
      <c r="A12" s="41" t="s">
        <v>262</v>
      </c>
      <c r="B12" s="42"/>
      <c r="C12" s="42"/>
      <c r="D12" s="42"/>
      <c r="E12" s="42"/>
    </row>
    <row r="13" spans="1:10" x14ac:dyDescent="0.3">
      <c r="A13" s="31" t="s">
        <v>5</v>
      </c>
      <c r="B13" s="31" t="s">
        <v>252</v>
      </c>
      <c r="C13" s="31" t="s">
        <v>189</v>
      </c>
      <c r="D13" s="31" t="s">
        <v>253</v>
      </c>
      <c r="E13" s="31" t="s">
        <v>254</v>
      </c>
    </row>
    <row r="14" spans="1:10" x14ac:dyDescent="0.3">
      <c r="A14" s="28" t="s">
        <v>185</v>
      </c>
      <c r="B14" s="29" t="s">
        <v>194</v>
      </c>
      <c r="C14" s="30">
        <v>6</v>
      </c>
      <c r="D14" s="30">
        <v>1</v>
      </c>
      <c r="E14" s="30">
        <v>1</v>
      </c>
    </row>
    <row r="15" spans="1:10" x14ac:dyDescent="0.3">
      <c r="A15" s="28" t="s">
        <v>185</v>
      </c>
      <c r="B15" s="29" t="s">
        <v>195</v>
      </c>
      <c r="C15" s="30">
        <v>3</v>
      </c>
      <c r="D15" s="30">
        <v>1</v>
      </c>
      <c r="E15" s="30">
        <v>2</v>
      </c>
    </row>
    <row r="16" spans="1:10" x14ac:dyDescent="0.3">
      <c r="A16" s="28" t="s">
        <v>185</v>
      </c>
      <c r="B16" s="29" t="s">
        <v>193</v>
      </c>
      <c r="C16" s="30">
        <v>4</v>
      </c>
      <c r="D16" s="30">
        <v>1</v>
      </c>
      <c r="E16" s="30">
        <v>3</v>
      </c>
      <c r="J16"/>
    </row>
    <row r="17" spans="1:10" x14ac:dyDescent="0.3">
      <c r="A17" s="28" t="s">
        <v>184</v>
      </c>
      <c r="B17" s="29" t="s">
        <v>194</v>
      </c>
      <c r="C17" s="30">
        <v>1</v>
      </c>
      <c r="D17" s="30">
        <v>2</v>
      </c>
      <c r="E17" s="30">
        <v>1</v>
      </c>
    </row>
    <row r="18" spans="1:10" x14ac:dyDescent="0.3">
      <c r="A18" s="28" t="s">
        <v>184</v>
      </c>
      <c r="B18" s="29" t="s">
        <v>195</v>
      </c>
      <c r="C18" s="30">
        <v>9</v>
      </c>
      <c r="D18" s="30">
        <v>2</v>
      </c>
      <c r="E18" s="30">
        <v>2</v>
      </c>
    </row>
    <row r="19" spans="1:10" x14ac:dyDescent="0.3">
      <c r="A19" s="28" t="s">
        <v>184</v>
      </c>
      <c r="B19" s="29" t="s">
        <v>193</v>
      </c>
      <c r="C19" s="30">
        <v>1</v>
      </c>
      <c r="D19" s="30">
        <v>2</v>
      </c>
      <c r="E19" s="30">
        <v>3</v>
      </c>
    </row>
    <row r="20" spans="1:10" x14ac:dyDescent="0.3">
      <c r="A20" s="28" t="s">
        <v>186</v>
      </c>
      <c r="B20" s="29" t="s">
        <v>194</v>
      </c>
      <c r="C20" s="30">
        <v>4</v>
      </c>
      <c r="D20" s="30">
        <v>3</v>
      </c>
      <c r="E20" s="30">
        <v>1</v>
      </c>
    </row>
    <row r="21" spans="1:10" x14ac:dyDescent="0.3">
      <c r="A21" s="28" t="s">
        <v>186</v>
      </c>
      <c r="B21" s="29" t="s">
        <v>195</v>
      </c>
      <c r="C21" s="30">
        <v>3</v>
      </c>
      <c r="D21" s="30">
        <v>3</v>
      </c>
      <c r="E21" s="30">
        <v>2</v>
      </c>
      <c r="J21"/>
    </row>
    <row r="22" spans="1:10" x14ac:dyDescent="0.3">
      <c r="A22" s="28" t="s">
        <v>186</v>
      </c>
      <c r="B22" s="29" t="s">
        <v>193</v>
      </c>
      <c r="C22" s="30">
        <v>3</v>
      </c>
      <c r="D22" s="30">
        <v>3</v>
      </c>
      <c r="E22" s="30">
        <v>3</v>
      </c>
    </row>
    <row r="23" spans="1:10" x14ac:dyDescent="0.3">
      <c r="A23" s="28" t="s">
        <v>186</v>
      </c>
      <c r="B23" s="29" t="s">
        <v>197</v>
      </c>
      <c r="C23" s="30">
        <v>2</v>
      </c>
      <c r="D23" s="30">
        <v>3</v>
      </c>
      <c r="E23" s="30">
        <v>4</v>
      </c>
    </row>
    <row r="24" spans="1:10" x14ac:dyDescent="0.3">
      <c r="A24" s="28" t="s">
        <v>176</v>
      </c>
      <c r="B24" s="29" t="s">
        <v>194</v>
      </c>
      <c r="C24" s="30">
        <v>3</v>
      </c>
      <c r="D24" s="30">
        <v>4</v>
      </c>
      <c r="E24" s="30">
        <v>1</v>
      </c>
    </row>
    <row r="25" spans="1:10" x14ac:dyDescent="0.3">
      <c r="A25" s="28" t="s">
        <v>176</v>
      </c>
      <c r="B25" s="29" t="s">
        <v>195</v>
      </c>
      <c r="C25" s="30">
        <v>4</v>
      </c>
      <c r="D25" s="30">
        <v>4</v>
      </c>
      <c r="E25" s="30">
        <v>2</v>
      </c>
    </row>
    <row r="26" spans="1:10" x14ac:dyDescent="0.3">
      <c r="A26" s="28" t="s">
        <v>176</v>
      </c>
      <c r="B26" s="29" t="s">
        <v>193</v>
      </c>
      <c r="C26" s="30">
        <v>4</v>
      </c>
      <c r="D26" s="30">
        <v>4</v>
      </c>
      <c r="E26" s="30">
        <v>3</v>
      </c>
    </row>
    <row r="27" spans="1:10" x14ac:dyDescent="0.3">
      <c r="A27" s="28" t="s">
        <v>176</v>
      </c>
      <c r="B27" s="29" t="s">
        <v>196</v>
      </c>
      <c r="C27" s="30">
        <v>1</v>
      </c>
      <c r="D27" s="30">
        <v>4</v>
      </c>
      <c r="E27" s="30">
        <v>5</v>
      </c>
    </row>
    <row r="28" spans="1:10" x14ac:dyDescent="0.3">
      <c r="A28" s="28" t="s">
        <v>187</v>
      </c>
      <c r="B28" s="29" t="s">
        <v>195</v>
      </c>
      <c r="C28" s="30">
        <v>1</v>
      </c>
      <c r="D28" s="30">
        <v>5</v>
      </c>
      <c r="E28" s="30">
        <v>2</v>
      </c>
    </row>
    <row r="29" spans="1:10" x14ac:dyDescent="0.3">
      <c r="A29" s="28" t="s">
        <v>177</v>
      </c>
      <c r="B29" s="29" t="s">
        <v>193</v>
      </c>
      <c r="C29" s="30">
        <v>1</v>
      </c>
      <c r="D29" s="30">
        <v>6</v>
      </c>
      <c r="E29" s="30">
        <v>3</v>
      </c>
    </row>
    <row r="30" spans="1:10" x14ac:dyDescent="0.3">
      <c r="A30" s="28" t="s">
        <v>177</v>
      </c>
      <c r="B30" s="29" t="s">
        <v>197</v>
      </c>
      <c r="C30" s="30">
        <v>1</v>
      </c>
      <c r="D30" s="30">
        <v>6</v>
      </c>
      <c r="E30" s="30">
        <v>4</v>
      </c>
    </row>
    <row r="31" spans="1:10" x14ac:dyDescent="0.3">
      <c r="A31" s="19"/>
      <c r="B31" s="20"/>
      <c r="C31" s="21"/>
      <c r="D31" s="21"/>
      <c r="E31" s="21"/>
    </row>
    <row r="46" spans="10:10" x14ac:dyDescent="0.3">
      <c r="J46"/>
    </row>
  </sheetData>
  <sortState xmlns:xlrd2="http://schemas.microsoft.com/office/spreadsheetml/2017/richdata2" ref="A14:E30">
    <sortCondition ref="D13:D30"/>
  </sortState>
  <mergeCells count="2">
    <mergeCell ref="A12:E12"/>
    <mergeCell ref="A1:H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1C53-2DF3-4C8B-92E3-C753277C97E7}">
  <dimension ref="A1:H31"/>
  <sheetViews>
    <sheetView tabSelected="1" zoomScale="61" workbookViewId="0">
      <selection activeCell="D12" sqref="D12"/>
    </sheetView>
  </sheetViews>
  <sheetFormatPr defaultRowHeight="14.4" x14ac:dyDescent="0.3"/>
  <cols>
    <col min="1" max="1" width="22.88671875" customWidth="1"/>
    <col min="2" max="2" width="27" customWidth="1"/>
    <col min="3" max="3" width="35.21875" customWidth="1"/>
    <col min="4" max="4" width="39.88671875" customWidth="1"/>
    <col min="5" max="5" width="33.6640625" customWidth="1"/>
    <col min="6" max="6" width="34.5546875" customWidth="1"/>
    <col min="7" max="7" width="23.77734375" customWidth="1"/>
    <col min="8" max="8" width="29.33203125" customWidth="1"/>
  </cols>
  <sheetData>
    <row r="1" spans="1:8" x14ac:dyDescent="0.3">
      <c r="A1" s="46" t="s">
        <v>265</v>
      </c>
      <c r="B1" s="47"/>
      <c r="C1" s="47"/>
      <c r="D1" s="47"/>
      <c r="E1" s="47"/>
      <c r="F1" s="47"/>
      <c r="G1" s="47"/>
      <c r="H1" s="47"/>
    </row>
    <row r="2" spans="1:8" x14ac:dyDescent="0.3">
      <c r="A2" s="35" t="s">
        <v>258</v>
      </c>
      <c r="B2" s="35" t="s">
        <v>257</v>
      </c>
      <c r="C2" s="35"/>
      <c r="D2" s="35"/>
      <c r="E2" s="35"/>
      <c r="F2" s="35"/>
      <c r="G2" s="35"/>
      <c r="H2" s="35"/>
    </row>
    <row r="3" spans="1:8" x14ac:dyDescent="0.3">
      <c r="A3" s="35" t="s">
        <v>255</v>
      </c>
      <c r="B3" s="35" t="s">
        <v>185</v>
      </c>
      <c r="C3" s="35" t="s">
        <v>184</v>
      </c>
      <c r="D3" s="35" t="s">
        <v>176</v>
      </c>
      <c r="E3" s="35" t="s">
        <v>177</v>
      </c>
      <c r="F3" s="35" t="s">
        <v>186</v>
      </c>
      <c r="G3" s="35" t="s">
        <v>187</v>
      </c>
      <c r="H3" s="35" t="s">
        <v>256</v>
      </c>
    </row>
    <row r="4" spans="1:8" x14ac:dyDescent="0.3">
      <c r="A4" t="s">
        <v>179</v>
      </c>
      <c r="B4">
        <v>4</v>
      </c>
      <c r="C4">
        <v>8</v>
      </c>
      <c r="D4">
        <v>5</v>
      </c>
      <c r="E4">
        <v>1</v>
      </c>
      <c r="F4">
        <v>4</v>
      </c>
      <c r="G4">
        <v>1</v>
      </c>
      <c r="H4">
        <v>23</v>
      </c>
    </row>
    <row r="5" spans="1:8" x14ac:dyDescent="0.3">
      <c r="A5" t="s">
        <v>183</v>
      </c>
      <c r="B5">
        <v>3</v>
      </c>
      <c r="C5">
        <v>1</v>
      </c>
      <c r="D5">
        <v>2</v>
      </c>
      <c r="E5">
        <v>1</v>
      </c>
      <c r="H5">
        <v>7</v>
      </c>
    </row>
    <row r="6" spans="1:8" x14ac:dyDescent="0.3">
      <c r="A6" t="s">
        <v>180</v>
      </c>
      <c r="B6">
        <v>2</v>
      </c>
      <c r="C6">
        <v>1</v>
      </c>
      <c r="D6">
        <v>3</v>
      </c>
      <c r="F6">
        <v>2</v>
      </c>
      <c r="H6">
        <v>8</v>
      </c>
    </row>
    <row r="7" spans="1:8" x14ac:dyDescent="0.3">
      <c r="A7" t="s">
        <v>181</v>
      </c>
      <c r="B7">
        <v>1</v>
      </c>
      <c r="C7">
        <v>1</v>
      </c>
      <c r="D7">
        <v>1</v>
      </c>
      <c r="H7">
        <v>3</v>
      </c>
    </row>
    <row r="8" spans="1:8" x14ac:dyDescent="0.3">
      <c r="A8" t="s">
        <v>182</v>
      </c>
      <c r="B8">
        <v>3</v>
      </c>
      <c r="D8">
        <v>1</v>
      </c>
      <c r="F8">
        <v>6</v>
      </c>
      <c r="H8">
        <v>10</v>
      </c>
    </row>
    <row r="9" spans="1:8" x14ac:dyDescent="0.3">
      <c r="A9" s="33" t="s">
        <v>256</v>
      </c>
      <c r="B9" s="34">
        <v>13</v>
      </c>
      <c r="C9" s="34">
        <v>11</v>
      </c>
      <c r="D9" s="34">
        <v>12</v>
      </c>
      <c r="E9" s="34">
        <v>2</v>
      </c>
      <c r="F9" s="34">
        <v>12</v>
      </c>
      <c r="G9" s="34">
        <v>1</v>
      </c>
      <c r="H9" s="34">
        <v>51</v>
      </c>
    </row>
    <row r="23" spans="1:7" x14ac:dyDescent="0.3">
      <c r="A23" s="48" t="s">
        <v>263</v>
      </c>
      <c r="B23" s="47"/>
      <c r="C23" s="47"/>
      <c r="D23" s="47"/>
      <c r="E23" s="47"/>
      <c r="F23" s="47"/>
      <c r="G23" s="47"/>
    </row>
    <row r="24" spans="1:7" x14ac:dyDescent="0.3">
      <c r="A24" s="35" t="s">
        <v>258</v>
      </c>
      <c r="B24" s="35" t="s">
        <v>257</v>
      </c>
      <c r="C24" s="35"/>
      <c r="D24" s="35"/>
      <c r="E24" s="35"/>
      <c r="F24" s="35"/>
      <c r="G24" s="35"/>
    </row>
    <row r="25" spans="1:7" x14ac:dyDescent="0.3">
      <c r="A25" s="35" t="s">
        <v>255</v>
      </c>
      <c r="B25" s="35" t="s">
        <v>196</v>
      </c>
      <c r="C25" s="35" t="s">
        <v>197</v>
      </c>
      <c r="D25" s="35" t="s">
        <v>193</v>
      </c>
      <c r="E25" s="35" t="s">
        <v>195</v>
      </c>
      <c r="F25" s="35" t="s">
        <v>194</v>
      </c>
      <c r="G25" s="35" t="s">
        <v>256</v>
      </c>
    </row>
    <row r="26" spans="1:7" x14ac:dyDescent="0.3">
      <c r="A26" s="32" t="s">
        <v>179</v>
      </c>
      <c r="B26">
        <v>1</v>
      </c>
      <c r="C26">
        <v>1</v>
      </c>
      <c r="D26">
        <v>6</v>
      </c>
      <c r="E26">
        <v>10</v>
      </c>
      <c r="F26">
        <v>5</v>
      </c>
      <c r="G26">
        <v>23</v>
      </c>
    </row>
    <row r="27" spans="1:7" x14ac:dyDescent="0.3">
      <c r="A27" s="32" t="s">
        <v>183</v>
      </c>
      <c r="D27">
        <v>3</v>
      </c>
      <c r="E27">
        <v>2</v>
      </c>
      <c r="F27">
        <v>2</v>
      </c>
      <c r="G27">
        <v>7</v>
      </c>
    </row>
    <row r="28" spans="1:7" x14ac:dyDescent="0.3">
      <c r="A28" s="32" t="s">
        <v>180</v>
      </c>
      <c r="D28">
        <v>2</v>
      </c>
      <c r="E28">
        <v>4</v>
      </c>
      <c r="F28">
        <v>2</v>
      </c>
      <c r="G28">
        <v>8</v>
      </c>
    </row>
    <row r="29" spans="1:7" x14ac:dyDescent="0.3">
      <c r="A29" s="32" t="s">
        <v>181</v>
      </c>
      <c r="E29">
        <v>3</v>
      </c>
      <c r="G29">
        <v>3</v>
      </c>
    </row>
    <row r="30" spans="1:7" x14ac:dyDescent="0.3">
      <c r="A30" s="32" t="s">
        <v>182</v>
      </c>
      <c r="C30">
        <v>2</v>
      </c>
      <c r="D30">
        <v>2</v>
      </c>
      <c r="E30">
        <v>1</v>
      </c>
      <c r="F30">
        <v>5</v>
      </c>
      <c r="G30">
        <v>10</v>
      </c>
    </row>
    <row r="31" spans="1:7" x14ac:dyDescent="0.3">
      <c r="A31" s="33" t="s">
        <v>256</v>
      </c>
      <c r="B31" s="34">
        <v>1</v>
      </c>
      <c r="C31" s="34">
        <v>3</v>
      </c>
      <c r="D31" s="34">
        <v>13</v>
      </c>
      <c r="E31" s="34">
        <v>20</v>
      </c>
      <c r="F31" s="34">
        <v>14</v>
      </c>
      <c r="G31" s="34">
        <v>51</v>
      </c>
    </row>
  </sheetData>
  <mergeCells count="2">
    <mergeCell ref="A1:H1"/>
    <mergeCell ref="A23:G23"/>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 Lazovic</dc:creator>
  <cp:lastModifiedBy>Nikola Lazovic</cp:lastModifiedBy>
  <dcterms:created xsi:type="dcterms:W3CDTF">2026-03-12T19:38:17Z</dcterms:created>
  <dcterms:modified xsi:type="dcterms:W3CDTF">2026-05-19T10:30:56Z</dcterms:modified>
</cp:coreProperties>
</file>